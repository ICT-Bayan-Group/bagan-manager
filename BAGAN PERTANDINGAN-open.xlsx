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andreego\bagan\bagan-manager\"/>
    </mc:Choice>
  </mc:AlternateContent>
  <xr:revisionPtr revIDLastSave="0" documentId="13_ncr:1_{BDFA0204-0FDE-4D50-BE06-DE693FCF136B}" xr6:coauthVersionLast="47" xr6:coauthVersionMax="47" xr10:uidLastSave="{00000000-0000-0000-0000-000000000000}"/>
  <bookViews>
    <workbookView xWindow="28680" yWindow="-120" windowWidth="29040" windowHeight="15720" tabRatio="781" activeTab="3" xr2:uid="{00000000-000D-0000-FFFF-FFFF00000000}"/>
  </bookViews>
  <sheets>
    <sheet name="GDA" sheetId="58" r:id="rId1"/>
    <sheet name="GDI" sheetId="56" r:id="rId2"/>
    <sheet name="VETERAN" sheetId="57" r:id="rId3"/>
    <sheet name="BEREGU" sheetId="47" r:id="rId4"/>
  </sheets>
  <definedNames>
    <definedName name="_xlnm.Print_Area" localSheetId="3">BEREGU!$A$1:$Z$71</definedName>
    <definedName name="_xlnm.Print_Area" localSheetId="0">GDA!$A$1:$Z$71</definedName>
    <definedName name="_xlnm.Print_Area" localSheetId="1">GDI!$A$1:$T$42</definedName>
    <definedName name="_xlnm.Print_Area" localSheetId="2">VETERAN!$A$1:$AA$135</definedName>
    <definedName name="_xlnm.Print_Titles" localSheetId="3">BEREGU!$1:$6</definedName>
    <definedName name="_xlnm.Print_Titles" localSheetId="0">GDA!$1:$6</definedName>
    <definedName name="_xlnm.Print_Titles" localSheetId="2">VETERAN!$1:$6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7" l="1"/>
  <c r="AE8" i="58"/>
  <c r="U75" i="58"/>
  <c r="Q75" i="58"/>
  <c r="M75" i="58"/>
  <c r="I75" i="58"/>
  <c r="E75" i="58"/>
  <c r="AE71" i="58"/>
  <c r="C71" i="58"/>
  <c r="B71" i="58"/>
  <c r="AE70" i="58"/>
  <c r="C70" i="58"/>
  <c r="B70" i="58"/>
  <c r="AE69" i="58"/>
  <c r="C69" i="58"/>
  <c r="B69" i="58"/>
  <c r="AE68" i="58"/>
  <c r="C68" i="58"/>
  <c r="B68" i="58"/>
  <c r="AE67" i="58"/>
  <c r="C67" i="58"/>
  <c r="B67" i="58"/>
  <c r="AE66" i="58"/>
  <c r="C66" i="58"/>
  <c r="B66" i="58"/>
  <c r="AE65" i="58"/>
  <c r="C65" i="58"/>
  <c r="B65" i="58"/>
  <c r="AE64" i="58"/>
  <c r="C64" i="58"/>
  <c r="B64" i="58"/>
  <c r="AE63" i="58"/>
  <c r="C63" i="58"/>
  <c r="B63" i="58"/>
  <c r="AE62" i="58"/>
  <c r="C62" i="58"/>
  <c r="B62" i="58"/>
  <c r="AE61" i="58"/>
  <c r="C61" i="58"/>
  <c r="B61" i="58"/>
  <c r="AE60" i="58"/>
  <c r="C60" i="58"/>
  <c r="B60" i="58"/>
  <c r="AE59" i="58"/>
  <c r="C59" i="58"/>
  <c r="B59" i="58"/>
  <c r="AE58" i="58"/>
  <c r="C58" i="58"/>
  <c r="B58" i="58"/>
  <c r="AE57" i="58"/>
  <c r="Q57" i="58"/>
  <c r="C57" i="58"/>
  <c r="B57" i="58"/>
  <c r="AE56" i="58"/>
  <c r="C56" i="58"/>
  <c r="B56" i="58"/>
  <c r="AE55" i="58"/>
  <c r="C55" i="58"/>
  <c r="B55" i="58"/>
  <c r="AE54" i="58"/>
  <c r="C54" i="58"/>
  <c r="B54" i="58"/>
  <c r="AE53" i="58"/>
  <c r="C53" i="58"/>
  <c r="B53" i="58"/>
  <c r="AE52" i="58"/>
  <c r="C52" i="58"/>
  <c r="B52" i="58"/>
  <c r="AE51" i="58"/>
  <c r="C51" i="58"/>
  <c r="B51" i="58"/>
  <c r="AE50" i="58"/>
  <c r="C50" i="58"/>
  <c r="B50" i="58"/>
  <c r="AE49" i="58"/>
  <c r="C49" i="58"/>
  <c r="B49" i="58"/>
  <c r="AE48" i="58"/>
  <c r="C48" i="58"/>
  <c r="B48" i="58"/>
  <c r="AE47" i="58"/>
  <c r="C47" i="58"/>
  <c r="B47" i="58"/>
  <c r="AE46" i="58"/>
  <c r="C46" i="58"/>
  <c r="B46" i="58"/>
  <c r="AE45" i="58"/>
  <c r="C45" i="58"/>
  <c r="B45" i="58"/>
  <c r="AE44" i="58"/>
  <c r="C44" i="58"/>
  <c r="B44" i="58"/>
  <c r="AE43" i="58"/>
  <c r="C43" i="58"/>
  <c r="B43" i="58"/>
  <c r="AE42" i="58"/>
  <c r="C42" i="58"/>
  <c r="B42" i="58"/>
  <c r="AE41" i="58"/>
  <c r="C41" i="58"/>
  <c r="B41" i="58"/>
  <c r="AE40" i="58"/>
  <c r="C40" i="58"/>
  <c r="B40" i="58"/>
  <c r="AE39" i="58"/>
  <c r="C39" i="58"/>
  <c r="B39" i="58"/>
  <c r="AE38" i="58"/>
  <c r="C38" i="58"/>
  <c r="B38" i="58"/>
  <c r="AE37" i="58"/>
  <c r="C37" i="58"/>
  <c r="B37" i="58"/>
  <c r="AE36" i="58"/>
  <c r="C36" i="58"/>
  <c r="B36" i="58"/>
  <c r="AE35" i="58"/>
  <c r="C35" i="58"/>
  <c r="B35" i="58"/>
  <c r="AE34" i="58"/>
  <c r="C34" i="58"/>
  <c r="B34" i="58"/>
  <c r="AE33" i="58"/>
  <c r="M33" i="58"/>
  <c r="M49" i="58" s="1"/>
  <c r="M65" i="58" s="1"/>
  <c r="C33" i="58"/>
  <c r="B33" i="58"/>
  <c r="AE32" i="58"/>
  <c r="C32" i="58"/>
  <c r="B32" i="58"/>
  <c r="AE31" i="58"/>
  <c r="C31" i="58"/>
  <c r="B31" i="58"/>
  <c r="AE30" i="58"/>
  <c r="C30" i="58"/>
  <c r="B30" i="58"/>
  <c r="AE29" i="58"/>
  <c r="C29" i="58"/>
  <c r="B29" i="58"/>
  <c r="AE28" i="58"/>
  <c r="C28" i="58"/>
  <c r="B28" i="58"/>
  <c r="AE27" i="58"/>
  <c r="C27" i="58"/>
  <c r="B27" i="58"/>
  <c r="AE26" i="58"/>
  <c r="C26" i="58"/>
  <c r="B26" i="58"/>
  <c r="AE25" i="58"/>
  <c r="C25" i="58"/>
  <c r="B25" i="58"/>
  <c r="AE24" i="58"/>
  <c r="C24" i="58"/>
  <c r="B24" i="58"/>
  <c r="AE23" i="58"/>
  <c r="C23" i="58"/>
  <c r="B23" i="58"/>
  <c r="AE22" i="58"/>
  <c r="C22" i="58"/>
  <c r="B22" i="58"/>
  <c r="AE21" i="58"/>
  <c r="I21" i="58"/>
  <c r="I29" i="58" s="1"/>
  <c r="I37" i="58" s="1"/>
  <c r="I45" i="58" s="1"/>
  <c r="I53" i="58" s="1"/>
  <c r="I61" i="58" s="1"/>
  <c r="I69" i="58" s="1"/>
  <c r="C21" i="58"/>
  <c r="B21" i="58"/>
  <c r="AE20" i="58"/>
  <c r="C20" i="58"/>
  <c r="B20" i="58"/>
  <c r="AE19" i="58"/>
  <c r="E19" i="58"/>
  <c r="E23" i="58" s="1"/>
  <c r="E27" i="58" s="1"/>
  <c r="E31" i="58" s="1"/>
  <c r="E35" i="58" s="1"/>
  <c r="E39" i="58" s="1"/>
  <c r="E43" i="58" s="1"/>
  <c r="E47" i="58" s="1"/>
  <c r="E51" i="58" s="1"/>
  <c r="E55" i="58" s="1"/>
  <c r="E59" i="58" s="1"/>
  <c r="E63" i="58" s="1"/>
  <c r="E67" i="58" s="1"/>
  <c r="E71" i="58" s="1"/>
  <c r="C19" i="58"/>
  <c r="B19" i="58"/>
  <c r="AE18" i="58"/>
  <c r="C18" i="58"/>
  <c r="B18" i="58"/>
  <c r="AE17" i="58"/>
  <c r="C17" i="58"/>
  <c r="B17" i="58"/>
  <c r="AE16" i="58"/>
  <c r="C16" i="58"/>
  <c r="B16" i="58"/>
  <c r="AE15" i="58"/>
  <c r="E15" i="58"/>
  <c r="C15" i="58"/>
  <c r="B15" i="58"/>
  <c r="AE14" i="58"/>
  <c r="C14" i="58"/>
  <c r="B14" i="58"/>
  <c r="AE13" i="58"/>
  <c r="C13" i="58"/>
  <c r="B13" i="58"/>
  <c r="AE12" i="58"/>
  <c r="C12" i="58"/>
  <c r="B12" i="58"/>
  <c r="AE11" i="58"/>
  <c r="C11" i="58"/>
  <c r="B11" i="58"/>
  <c r="AE10" i="58"/>
  <c r="C10" i="58"/>
  <c r="B10" i="58"/>
  <c r="AE9" i="58"/>
  <c r="C9" i="58"/>
  <c r="B9" i="58"/>
  <c r="C8" i="58"/>
  <c r="B8" i="58"/>
  <c r="AA4" i="58"/>
  <c r="AI8" i="57"/>
  <c r="AI10" i="57"/>
  <c r="AI11" i="57"/>
  <c r="AI12" i="57"/>
  <c r="AI13" i="57"/>
  <c r="AI14" i="57"/>
  <c r="AI15" i="57"/>
  <c r="AI16" i="57"/>
  <c r="AI17" i="57"/>
  <c r="AI18" i="57"/>
  <c r="AI19" i="57"/>
  <c r="AI20" i="57"/>
  <c r="AI21" i="57"/>
  <c r="AI22" i="57"/>
  <c r="AI23" i="57"/>
  <c r="AI24" i="57"/>
  <c r="AI25" i="57"/>
  <c r="AI26" i="57"/>
  <c r="AI27" i="57"/>
  <c r="AI28" i="57"/>
  <c r="AI29" i="57"/>
  <c r="AI30" i="57"/>
  <c r="AI31" i="57"/>
  <c r="AI32" i="57"/>
  <c r="AI33" i="57"/>
  <c r="AI34" i="57"/>
  <c r="AI35" i="57"/>
  <c r="AI36" i="57"/>
  <c r="AI37" i="57"/>
  <c r="AI38" i="57"/>
  <c r="AI39" i="57"/>
  <c r="AI40" i="57"/>
  <c r="AI41" i="57"/>
  <c r="AI42" i="57"/>
  <c r="AI43" i="57"/>
  <c r="AI44" i="57"/>
  <c r="AI45" i="57"/>
  <c r="AI46" i="57"/>
  <c r="AI47" i="57"/>
  <c r="AI48" i="57"/>
  <c r="AI49" i="57"/>
  <c r="AI50" i="57"/>
  <c r="AI51" i="57"/>
  <c r="AI52" i="57"/>
  <c r="AI53" i="57"/>
  <c r="AI54" i="57"/>
  <c r="AI55" i="57"/>
  <c r="AI56" i="57"/>
  <c r="AI57" i="57"/>
  <c r="AI58" i="57"/>
  <c r="AI59" i="57"/>
  <c r="AI60" i="57"/>
  <c r="AI61" i="57"/>
  <c r="AI62" i="57"/>
  <c r="AI63" i="57"/>
  <c r="AI64" i="57"/>
  <c r="AI65" i="57"/>
  <c r="AI66" i="57"/>
  <c r="AI67" i="57"/>
  <c r="AI68" i="57"/>
  <c r="AI69" i="57"/>
  <c r="AI70" i="57"/>
  <c r="AI71" i="57"/>
  <c r="AI72" i="57"/>
  <c r="AI73" i="57"/>
  <c r="AI74" i="57"/>
  <c r="AI75" i="57"/>
  <c r="AI76" i="57"/>
  <c r="AI77" i="57"/>
  <c r="AI78" i="57"/>
  <c r="AI79" i="57"/>
  <c r="AI80" i="57"/>
  <c r="AI81" i="57"/>
  <c r="AI82" i="57"/>
  <c r="AI83" i="57"/>
  <c r="AI84" i="57"/>
  <c r="AI85" i="57"/>
  <c r="AI86" i="57"/>
  <c r="AI87" i="57"/>
  <c r="AI88" i="57"/>
  <c r="AI89" i="57"/>
  <c r="AI90" i="57"/>
  <c r="AI91" i="57"/>
  <c r="AI92" i="57"/>
  <c r="AI93" i="57"/>
  <c r="AI94" i="57"/>
  <c r="AI95" i="57"/>
  <c r="AI96" i="57"/>
  <c r="AI97" i="57"/>
  <c r="AI98" i="57"/>
  <c r="AI99" i="57"/>
  <c r="AI100" i="57"/>
  <c r="AI101" i="57"/>
  <c r="AI102" i="57"/>
  <c r="AI103" i="57"/>
  <c r="AI104" i="57"/>
  <c r="AI105" i="57"/>
  <c r="AI106" i="57"/>
  <c r="AI107" i="57"/>
  <c r="AI108" i="57"/>
  <c r="AI109" i="57"/>
  <c r="AI110" i="57"/>
  <c r="AI111" i="57"/>
  <c r="AI112" i="57"/>
  <c r="AI113" i="57"/>
  <c r="AI114" i="57"/>
  <c r="AI115" i="57"/>
  <c r="AI116" i="57"/>
  <c r="AI117" i="57"/>
  <c r="AI118" i="57"/>
  <c r="AI119" i="57"/>
  <c r="AI120" i="57"/>
  <c r="AI121" i="57"/>
  <c r="AI122" i="57"/>
  <c r="AI123" i="57"/>
  <c r="AI124" i="57"/>
  <c r="AI125" i="57"/>
  <c r="AI126" i="57"/>
  <c r="AI127" i="57"/>
  <c r="AI128" i="57"/>
  <c r="AI129" i="57"/>
  <c r="AI130" i="57"/>
  <c r="AI131" i="57"/>
  <c r="AI132" i="57"/>
  <c r="AI133" i="57"/>
  <c r="AI134" i="57"/>
  <c r="AI135" i="57"/>
  <c r="AI9" i="57"/>
  <c r="AI10" i="47" l="1"/>
  <c r="AI11" i="47"/>
  <c r="AI12" i="47"/>
  <c r="AI13" i="47"/>
  <c r="AI14" i="47"/>
  <c r="AI15" i="47"/>
  <c r="AI16" i="47"/>
  <c r="AI17" i="47"/>
  <c r="AI18" i="47"/>
  <c r="AI19" i="47"/>
  <c r="AI20" i="47"/>
  <c r="AI21" i="47"/>
  <c r="AI22" i="47"/>
  <c r="AI23" i="47"/>
  <c r="AI24" i="47"/>
  <c r="AI25" i="47"/>
  <c r="AI26" i="47"/>
  <c r="AI27" i="47"/>
  <c r="AI28" i="47"/>
  <c r="AI29" i="47"/>
  <c r="AI30" i="47"/>
  <c r="AI31" i="47"/>
  <c r="AI32" i="47"/>
  <c r="AI33" i="47"/>
  <c r="AI34" i="47"/>
  <c r="AI35" i="47"/>
  <c r="AI36" i="47"/>
  <c r="AI37" i="47"/>
  <c r="AI38" i="47"/>
  <c r="AI39" i="47"/>
  <c r="AI40" i="47"/>
  <c r="AI41" i="47"/>
  <c r="AI42" i="47"/>
  <c r="AI43" i="47"/>
  <c r="AI44" i="47"/>
  <c r="AI45" i="47"/>
  <c r="AI46" i="47"/>
  <c r="AI47" i="47"/>
  <c r="AI48" i="47"/>
  <c r="AI49" i="47"/>
  <c r="AI50" i="47"/>
  <c r="AI51" i="47"/>
  <c r="AI52" i="47"/>
  <c r="AI53" i="47"/>
  <c r="AI54" i="47"/>
  <c r="AI55" i="47"/>
  <c r="AI56" i="47"/>
  <c r="AI57" i="47"/>
  <c r="AI58" i="47"/>
  <c r="AI59" i="47"/>
  <c r="AI60" i="47"/>
  <c r="AI61" i="47"/>
  <c r="AI62" i="47"/>
  <c r="AI63" i="47"/>
  <c r="AI64" i="47"/>
  <c r="AI65" i="47"/>
  <c r="AI66" i="47"/>
  <c r="AI67" i="47"/>
  <c r="AI68" i="47"/>
  <c r="AI69" i="47"/>
  <c r="AI70" i="47"/>
  <c r="AI71" i="47"/>
  <c r="AI9" i="47"/>
  <c r="C135" i="57" l="1"/>
  <c r="B135" i="57"/>
  <c r="C134" i="57"/>
  <c r="B134" i="57"/>
  <c r="C133" i="57"/>
  <c r="B133" i="57"/>
  <c r="C132" i="57"/>
  <c r="B132" i="57"/>
  <c r="C131" i="57"/>
  <c r="B131" i="57"/>
  <c r="C130" i="57"/>
  <c r="B130" i="57"/>
  <c r="C129" i="57"/>
  <c r="B129" i="57"/>
  <c r="C128" i="57"/>
  <c r="B128" i="57"/>
  <c r="C127" i="57"/>
  <c r="B127" i="57"/>
  <c r="C126" i="57"/>
  <c r="B126" i="57"/>
  <c r="C125" i="57"/>
  <c r="B125" i="57"/>
  <c r="C124" i="57"/>
  <c r="B124" i="57"/>
  <c r="C123" i="57"/>
  <c r="B123" i="57"/>
  <c r="C122" i="57"/>
  <c r="B122" i="57"/>
  <c r="C121" i="57"/>
  <c r="B121" i="57"/>
  <c r="C120" i="57"/>
  <c r="B120" i="57"/>
  <c r="C119" i="57"/>
  <c r="B119" i="57"/>
  <c r="C118" i="57"/>
  <c r="B118" i="57"/>
  <c r="C117" i="57"/>
  <c r="B117" i="57"/>
  <c r="C116" i="57"/>
  <c r="B116" i="57"/>
  <c r="C115" i="57"/>
  <c r="B115" i="57"/>
  <c r="C114" i="57"/>
  <c r="B114" i="57"/>
  <c r="C113" i="57"/>
  <c r="B113" i="57"/>
  <c r="C112" i="57"/>
  <c r="B112" i="57"/>
  <c r="C111" i="57"/>
  <c r="B111" i="57"/>
  <c r="C110" i="57"/>
  <c r="B110" i="57"/>
  <c r="C109" i="57"/>
  <c r="B109" i="57"/>
  <c r="C108" i="57"/>
  <c r="B108" i="57"/>
  <c r="C107" i="57"/>
  <c r="B107" i="57"/>
  <c r="C106" i="57"/>
  <c r="B106" i="57"/>
  <c r="C105" i="57"/>
  <c r="B105" i="57"/>
  <c r="C104" i="57"/>
  <c r="B104" i="57"/>
  <c r="C103" i="57"/>
  <c r="B103" i="57"/>
  <c r="C102" i="57"/>
  <c r="B102" i="57"/>
  <c r="C101" i="57"/>
  <c r="B101" i="57"/>
  <c r="C100" i="57"/>
  <c r="B100" i="57"/>
  <c r="C99" i="57"/>
  <c r="B99" i="57"/>
  <c r="C98" i="57"/>
  <c r="B98" i="57"/>
  <c r="C97" i="57"/>
  <c r="B97" i="57"/>
  <c r="C96" i="57"/>
  <c r="B96" i="57"/>
  <c r="C95" i="57"/>
  <c r="B95" i="57"/>
  <c r="C94" i="57"/>
  <c r="B94" i="57"/>
  <c r="C93" i="57"/>
  <c r="B93" i="57"/>
  <c r="C92" i="57"/>
  <c r="B92" i="57"/>
  <c r="C91" i="57"/>
  <c r="B91" i="57"/>
  <c r="C90" i="57"/>
  <c r="B90" i="57"/>
  <c r="C89" i="57"/>
  <c r="B89" i="57"/>
  <c r="C88" i="57"/>
  <c r="B88" i="57"/>
  <c r="C87" i="57"/>
  <c r="B87" i="57"/>
  <c r="C86" i="57"/>
  <c r="B86" i="57"/>
  <c r="C85" i="57"/>
  <c r="B85" i="57"/>
  <c r="C84" i="57"/>
  <c r="B84" i="57"/>
  <c r="C83" i="57"/>
  <c r="B83" i="57"/>
  <c r="C82" i="57"/>
  <c r="B82" i="57"/>
  <c r="C81" i="57"/>
  <c r="B81" i="57"/>
  <c r="C80" i="57"/>
  <c r="B80" i="57"/>
  <c r="C79" i="57"/>
  <c r="B79" i="57"/>
  <c r="C78" i="57"/>
  <c r="B78" i="57"/>
  <c r="C77" i="57"/>
  <c r="B77" i="57"/>
  <c r="C76" i="57"/>
  <c r="B76" i="57"/>
  <c r="C75" i="57"/>
  <c r="B75" i="57"/>
  <c r="C74" i="57"/>
  <c r="B74" i="57"/>
  <c r="C73" i="57"/>
  <c r="B73" i="57"/>
  <c r="C72" i="57"/>
  <c r="B72" i="57"/>
  <c r="C71" i="57"/>
  <c r="B71" i="57"/>
  <c r="C70" i="57"/>
  <c r="B70" i="57"/>
  <c r="C69" i="57"/>
  <c r="B69" i="57"/>
  <c r="C68" i="57"/>
  <c r="B68" i="57"/>
  <c r="C67" i="57"/>
  <c r="B67" i="57"/>
  <c r="C66" i="57"/>
  <c r="B66" i="57"/>
  <c r="C65" i="57"/>
  <c r="B65" i="57"/>
  <c r="C64" i="57"/>
  <c r="B64" i="57"/>
  <c r="C63" i="57"/>
  <c r="B63" i="57"/>
  <c r="C62" i="57"/>
  <c r="B62" i="57"/>
  <c r="C61" i="57"/>
  <c r="B61" i="57"/>
  <c r="C60" i="57"/>
  <c r="B60" i="57"/>
  <c r="C59" i="57"/>
  <c r="B59" i="57"/>
  <c r="C58" i="57"/>
  <c r="B58" i="57"/>
  <c r="C57" i="57"/>
  <c r="B57" i="57"/>
  <c r="C56" i="57"/>
  <c r="B56" i="57"/>
  <c r="C55" i="57"/>
  <c r="B55" i="57"/>
  <c r="C54" i="57"/>
  <c r="B54" i="57"/>
  <c r="C53" i="57"/>
  <c r="B53" i="57"/>
  <c r="C52" i="57"/>
  <c r="B52" i="57"/>
  <c r="C51" i="57"/>
  <c r="B51" i="57"/>
  <c r="C50" i="57"/>
  <c r="B50" i="57"/>
  <c r="C49" i="57"/>
  <c r="B49" i="57"/>
  <c r="C48" i="57"/>
  <c r="B48" i="57"/>
  <c r="C47" i="57"/>
  <c r="B47" i="57"/>
  <c r="C46" i="57"/>
  <c r="B46" i="57"/>
  <c r="C45" i="57"/>
  <c r="B45" i="57"/>
  <c r="C44" i="57"/>
  <c r="B44" i="57"/>
  <c r="C43" i="57"/>
  <c r="B43" i="57"/>
  <c r="C42" i="57"/>
  <c r="B42" i="57"/>
  <c r="C41" i="57"/>
  <c r="B41" i="57"/>
  <c r="C40" i="57"/>
  <c r="B40" i="57"/>
  <c r="C39" i="57"/>
  <c r="B39" i="57"/>
  <c r="C38" i="57"/>
  <c r="B38" i="57"/>
  <c r="C37" i="57"/>
  <c r="B37" i="57"/>
  <c r="C36" i="57"/>
  <c r="B36" i="57"/>
  <c r="C35" i="57"/>
  <c r="B35" i="57"/>
  <c r="C34" i="57"/>
  <c r="B34" i="57"/>
  <c r="C33" i="57"/>
  <c r="B33" i="57"/>
  <c r="C32" i="57"/>
  <c r="B32" i="57"/>
  <c r="C31" i="57"/>
  <c r="B31" i="57"/>
  <c r="C30" i="57"/>
  <c r="B30" i="57"/>
  <c r="C29" i="57"/>
  <c r="B29" i="57"/>
  <c r="C28" i="57"/>
  <c r="B28" i="57"/>
  <c r="C27" i="57"/>
  <c r="B27" i="57"/>
  <c r="C26" i="57"/>
  <c r="B26" i="57"/>
  <c r="C25" i="57"/>
  <c r="B25" i="57"/>
  <c r="C24" i="57"/>
  <c r="B24" i="57"/>
  <c r="C23" i="57"/>
  <c r="B23" i="57"/>
  <c r="C22" i="57"/>
  <c r="B22" i="57"/>
  <c r="C21" i="57"/>
  <c r="B21" i="57"/>
  <c r="C20" i="57"/>
  <c r="B20" i="57"/>
  <c r="C19" i="57"/>
  <c r="B19" i="57"/>
  <c r="C18" i="57"/>
  <c r="B18" i="57"/>
  <c r="C17" i="57"/>
  <c r="B17" i="57"/>
  <c r="C16" i="57"/>
  <c r="B16" i="57"/>
  <c r="E15" i="57"/>
  <c r="E19" i="57" s="1"/>
  <c r="E23" i="57" s="1"/>
  <c r="E27" i="57" s="1"/>
  <c r="E31" i="57" s="1"/>
  <c r="E35" i="57" s="1"/>
  <c r="E39" i="57" s="1"/>
  <c r="E43" i="57" s="1"/>
  <c r="E47" i="57" s="1"/>
  <c r="E51" i="57" s="1"/>
  <c r="E55" i="57" s="1"/>
  <c r="E59" i="57" s="1"/>
  <c r="E63" i="57" s="1"/>
  <c r="E67" i="57" s="1"/>
  <c r="E71" i="57" s="1"/>
  <c r="E75" i="57" s="1"/>
  <c r="E79" i="57" s="1"/>
  <c r="E83" i="57" s="1"/>
  <c r="E87" i="57" s="1"/>
  <c r="E91" i="57" s="1"/>
  <c r="E95" i="57" s="1"/>
  <c r="E99" i="57" s="1"/>
  <c r="E103" i="57" s="1"/>
  <c r="E107" i="57" s="1"/>
  <c r="E111" i="57" s="1"/>
  <c r="E115" i="57" s="1"/>
  <c r="E119" i="57" s="1"/>
  <c r="E123" i="57" s="1"/>
  <c r="E127" i="57" s="1"/>
  <c r="E131" i="57" s="1"/>
  <c r="E135" i="57" s="1"/>
  <c r="I13" i="57" s="1"/>
  <c r="I21" i="57" s="1"/>
  <c r="I29" i="57" s="1"/>
  <c r="I37" i="57" s="1"/>
  <c r="I45" i="57" s="1"/>
  <c r="I53" i="57" s="1"/>
  <c r="I61" i="57" s="1"/>
  <c r="I69" i="57" s="1"/>
  <c r="I77" i="57" s="1"/>
  <c r="I85" i="57" s="1"/>
  <c r="I93" i="57" s="1"/>
  <c r="I101" i="57" s="1"/>
  <c r="I109" i="57" s="1"/>
  <c r="I117" i="57" s="1"/>
  <c r="I125" i="57" s="1"/>
  <c r="I133" i="57" s="1"/>
  <c r="C15" i="57"/>
  <c r="B15" i="57"/>
  <c r="C14" i="57"/>
  <c r="B14" i="57"/>
  <c r="C13" i="57"/>
  <c r="B13" i="57"/>
  <c r="C12" i="57"/>
  <c r="B12" i="57"/>
  <c r="C11" i="57"/>
  <c r="B11" i="57"/>
  <c r="C10" i="57"/>
  <c r="B10" i="57"/>
  <c r="C9" i="57"/>
  <c r="B9" i="57"/>
  <c r="C8" i="57"/>
  <c r="B8" i="57"/>
  <c r="AE4" i="57"/>
  <c r="D40" i="56"/>
  <c r="C40" i="56"/>
  <c r="D39" i="56"/>
  <c r="C39" i="56"/>
  <c r="D38" i="56"/>
  <c r="C38" i="56"/>
  <c r="D37" i="56"/>
  <c r="C37" i="56"/>
  <c r="D36" i="56"/>
  <c r="C36" i="56"/>
  <c r="D35" i="56"/>
  <c r="C35" i="56"/>
  <c r="D34" i="56"/>
  <c r="C34" i="56"/>
  <c r="D33" i="56"/>
  <c r="C33" i="56"/>
  <c r="D32" i="56"/>
  <c r="C32" i="56"/>
  <c r="D31" i="56"/>
  <c r="C31" i="56"/>
  <c r="D30" i="56"/>
  <c r="C30" i="56"/>
  <c r="D29" i="56"/>
  <c r="C29" i="56"/>
  <c r="D28" i="56"/>
  <c r="C28" i="56"/>
  <c r="D27" i="56"/>
  <c r="C27" i="56"/>
  <c r="D26" i="56"/>
  <c r="C26" i="56"/>
  <c r="D25" i="56"/>
  <c r="C25" i="56"/>
  <c r="D24" i="56"/>
  <c r="C24" i="56"/>
  <c r="D23" i="56"/>
  <c r="C23" i="56"/>
  <c r="D22" i="56"/>
  <c r="C22" i="56"/>
  <c r="D21" i="56"/>
  <c r="C21" i="56"/>
  <c r="D20" i="56"/>
  <c r="C20" i="56"/>
  <c r="D19" i="56"/>
  <c r="C19" i="56"/>
  <c r="D18" i="56"/>
  <c r="C18" i="56"/>
  <c r="D17" i="56"/>
  <c r="C17" i="56"/>
  <c r="F16" i="56"/>
  <c r="F20" i="56" s="1"/>
  <c r="F24" i="56" s="1"/>
  <c r="F28" i="56" s="1"/>
  <c r="F32" i="56" s="1"/>
  <c r="F36" i="56" s="1"/>
  <c r="F40" i="56" s="1"/>
  <c r="J14" i="56" s="1"/>
  <c r="J22" i="56" s="1"/>
  <c r="J30" i="56" s="1"/>
  <c r="J38" i="56" s="1"/>
  <c r="N18" i="56" s="1"/>
  <c r="N34" i="56" s="1"/>
  <c r="D16" i="56"/>
  <c r="C16" i="56"/>
  <c r="D15" i="56"/>
  <c r="C15" i="56"/>
  <c r="D14" i="56"/>
  <c r="C14" i="56"/>
  <c r="D13" i="56"/>
  <c r="C13" i="56"/>
  <c r="D12" i="56"/>
  <c r="C12" i="56"/>
  <c r="D11" i="56"/>
  <c r="C11" i="56"/>
  <c r="D10" i="56"/>
  <c r="C10" i="56"/>
  <c r="D9" i="56"/>
  <c r="C9" i="56"/>
  <c r="AF5" i="56"/>
  <c r="E139" i="57" l="1"/>
  <c r="I139" i="57"/>
  <c r="M17" i="57"/>
  <c r="M33" i="57" s="1"/>
  <c r="M49" i="57" s="1"/>
  <c r="M65" i="57" s="1"/>
  <c r="M81" i="57" s="1"/>
  <c r="M97" i="57" s="1"/>
  <c r="M113" i="57" s="1"/>
  <c r="M129" i="57" s="1"/>
  <c r="M139" i="57" l="1"/>
  <c r="Q25" i="57"/>
  <c r="Q57" i="57" s="1"/>
  <c r="Q89" i="57" s="1"/>
  <c r="Q121" i="57" s="1"/>
  <c r="Q139" i="57" l="1"/>
  <c r="U41" i="57"/>
  <c r="U105" i="57" s="1"/>
  <c r="U75" i="47"/>
  <c r="Q75" i="47"/>
  <c r="M75" i="47"/>
  <c r="I75" i="47"/>
  <c r="E75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Q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M33" i="47"/>
  <c r="M49" i="47" s="1"/>
  <c r="M65" i="47" s="1"/>
  <c r="C32" i="47"/>
  <c r="C31" i="47"/>
  <c r="C30" i="47"/>
  <c r="C29" i="47"/>
  <c r="C28" i="47"/>
  <c r="C27" i="47"/>
  <c r="C26" i="47"/>
  <c r="C25" i="47"/>
  <c r="C24" i="47"/>
  <c r="C23" i="47"/>
  <c r="C22" i="47"/>
  <c r="C21" i="47"/>
  <c r="I21" i="47"/>
  <c r="I29" i="47" s="1"/>
  <c r="I37" i="47" s="1"/>
  <c r="I45" i="47" s="1"/>
  <c r="I53" i="47" s="1"/>
  <c r="I61" i="47" s="1"/>
  <c r="I69" i="47" s="1"/>
  <c r="C20" i="47"/>
  <c r="C19" i="47"/>
  <c r="C18" i="47"/>
  <c r="C17" i="47"/>
  <c r="C16" i="47"/>
  <c r="C15" i="47"/>
  <c r="E15" i="47"/>
  <c r="E19" i="47" s="1"/>
  <c r="E23" i="47" s="1"/>
  <c r="E27" i="47" s="1"/>
  <c r="E31" i="47" s="1"/>
  <c r="E35" i="47" s="1"/>
  <c r="E39" i="47" s="1"/>
  <c r="E43" i="47" s="1"/>
  <c r="E47" i="47" s="1"/>
  <c r="E51" i="47" s="1"/>
  <c r="E55" i="47" s="1"/>
  <c r="E59" i="47" s="1"/>
  <c r="E63" i="47" s="1"/>
  <c r="E67" i="47" s="1"/>
  <c r="E71" i="47" s="1"/>
  <c r="C14" i="47"/>
  <c r="C13" i="47"/>
  <c r="C12" i="47"/>
  <c r="C11" i="47"/>
  <c r="C10" i="47"/>
  <c r="C9" i="47"/>
  <c r="C8" i="47"/>
  <c r="AE4" i="47"/>
  <c r="U139" i="57" l="1"/>
  <c r="Y73" i="57"/>
</calcChain>
</file>

<file path=xl/sharedStrings.xml><?xml version="1.0" encoding="utf-8"?>
<sst xmlns="http://schemas.openxmlformats.org/spreadsheetml/2006/main" count="980" uniqueCount="253">
  <si>
    <t>NO</t>
  </si>
  <si>
    <t>CLUB</t>
  </si>
  <si>
    <t>Round 1</t>
  </si>
  <si>
    <t>Round 2</t>
  </si>
  <si>
    <t>Quarterfinals</t>
  </si>
  <si>
    <t>Semifinals</t>
  </si>
  <si>
    <t>Final</t>
  </si>
  <si>
    <t>Winner</t>
  </si>
  <si>
    <t>Entry Data</t>
  </si>
  <si>
    <t>#</t>
  </si>
  <si>
    <t>:</t>
  </si>
  <si>
    <t>Round 3</t>
  </si>
  <si>
    <t>Bye</t>
  </si>
  <si>
    <t>Date</t>
  </si>
  <si>
    <t>City, Country</t>
  </si>
  <si>
    <t>club</t>
  </si>
  <si>
    <t>name</t>
  </si>
  <si>
    <t>-</t>
  </si>
  <si>
    <t>KEJUARAAN BULUTANGKIS SIRNAS C BAYAN</t>
  </si>
  <si>
    <t>BEREGU DEWASA</t>
  </si>
  <si>
    <t>24 - 29 Agustus 2026</t>
  </si>
  <si>
    <t>BALIKPAPAN, INDONESIA</t>
  </si>
  <si>
    <t>MAXPLAY A (1)</t>
  </si>
  <si>
    <t>FAREZ B</t>
  </si>
  <si>
    <t>ADS TEAM</t>
  </si>
  <si>
    <t>WICINDO</t>
  </si>
  <si>
    <t>WORKER</t>
  </si>
  <si>
    <t>HARFANAS B (3/4)</t>
  </si>
  <si>
    <t>ATHENA</t>
  </si>
  <si>
    <t>CYBER A</t>
  </si>
  <si>
    <t>BAYAN B</t>
  </si>
  <si>
    <t>ASKIF</t>
  </si>
  <si>
    <t>PACIFIC B</t>
  </si>
  <si>
    <t>PACIFIC A</t>
  </si>
  <si>
    <t>BHAYANGKARA</t>
  </si>
  <si>
    <t>KARUNIA PRIMATAMA</t>
  </si>
  <si>
    <t>KARUNIA GRUP</t>
  </si>
  <si>
    <t>CYBER B</t>
  </si>
  <si>
    <t>BAYAN A (3/4)</t>
  </si>
  <si>
    <t>SUCOFINDO</t>
  </si>
  <si>
    <t>CAHAYA AGUNG</t>
  </si>
  <si>
    <t>MAXPLAY B</t>
  </si>
  <si>
    <t>FAREZ A</t>
  </si>
  <si>
    <t>HARFANAS A (2)</t>
  </si>
  <si>
    <t>GANDA DEWASA PUTRI</t>
  </si>
  <si>
    <t>BAYAN</t>
  </si>
  <si>
    <t>Dewita Wijayasari</t>
  </si>
  <si>
    <t>Wianda Mairiane</t>
  </si>
  <si>
    <t>PB HARFANAS</t>
  </si>
  <si>
    <t>Nur Zalsa Nabila</t>
  </si>
  <si>
    <t>Almunawarah</t>
  </si>
  <si>
    <t>Lammoro Makassar</t>
  </si>
  <si>
    <t>Priskila Venus Elsadai</t>
  </si>
  <si>
    <t>Valentine Dionny Mesdila</t>
  </si>
  <si>
    <t>PB HEVINDO BALIKPAPAN</t>
  </si>
  <si>
    <t>Sheila Dinda Kurniawan</t>
  </si>
  <si>
    <t>Medina Nazwa Yuniar</t>
  </si>
  <si>
    <t>PB MULIA BARU SANGATTA</t>
  </si>
  <si>
    <t>Steviolin Marcella</t>
  </si>
  <si>
    <t>Sarah Daisy Theresia Christina</t>
  </si>
  <si>
    <t>PB Karunia Primatama Group</t>
  </si>
  <si>
    <t>Victoria Grace Pongantung</t>
  </si>
  <si>
    <t>Zaranada Afifah Yumna</t>
  </si>
  <si>
    <t>Nazhiva Rasya Atmawijaya</t>
  </si>
  <si>
    <t>Karina Ria Hardianti</t>
  </si>
  <si>
    <t>Pertamina MOR 6</t>
  </si>
  <si>
    <t>Nella Puspita Dewi</t>
  </si>
  <si>
    <t>Arisma Nur Rahmadani</t>
  </si>
  <si>
    <t>PENGAIRAN KALTIM</t>
  </si>
  <si>
    <t>Sumarni</t>
  </si>
  <si>
    <t>Jamilah Wardah</t>
  </si>
  <si>
    <t>MAXPLAY BC</t>
  </si>
  <si>
    <t>Novianny Thalia Angel Wowor</t>
  </si>
  <si>
    <t>Rabelvrili Cantika Asmara</t>
  </si>
  <si>
    <t>Zahratul Syita</t>
  </si>
  <si>
    <t>Ryani Puspita Dewi</t>
  </si>
  <si>
    <t>PB FAREZ</t>
  </si>
  <si>
    <t>JENNA GOZALI BADMINTON CLUB</t>
  </si>
  <si>
    <t>Anggia Shitta Awanda (1)</t>
  </si>
  <si>
    <t>Debby Susanto (1)</t>
  </si>
  <si>
    <t>Gabriela Meilani Moningka (2)</t>
  </si>
  <si>
    <t>Jenna Gozali (2)</t>
  </si>
  <si>
    <t>GANDA VETERAN PUTRA</t>
  </si>
  <si>
    <t>Herman Laksono (1)</t>
  </si>
  <si>
    <t>Ignatius Rudy (1)</t>
  </si>
  <si>
    <t>Made Suryawan</t>
  </si>
  <si>
    <t>Iketut Susrama</t>
  </si>
  <si>
    <t>WBH BALI</t>
  </si>
  <si>
    <t>PB AA</t>
  </si>
  <si>
    <t>Yanto</t>
  </si>
  <si>
    <t>Hadi Hariyanto</t>
  </si>
  <si>
    <t>PB PASIFIC</t>
  </si>
  <si>
    <t>Dedy Atmawijaya</t>
  </si>
  <si>
    <t>Edy Burhanuddin Murad</t>
  </si>
  <si>
    <t>Laaka</t>
  </si>
  <si>
    <t>Ridwansyah</t>
  </si>
  <si>
    <t>PB GAIS</t>
  </si>
  <si>
    <t>Suhendri</t>
  </si>
  <si>
    <t>A. Badril</t>
  </si>
  <si>
    <t>TR SPORT BERAU</t>
  </si>
  <si>
    <t>MAXPLAY</t>
  </si>
  <si>
    <t>PB. DAMAI</t>
  </si>
  <si>
    <t>Muhammad Nasir</t>
  </si>
  <si>
    <t>Syarifuddin</t>
  </si>
  <si>
    <t>Pb.national</t>
  </si>
  <si>
    <t>Agus Waluyo</t>
  </si>
  <si>
    <t>Zullahmi</t>
  </si>
  <si>
    <t>Murdhoko Ari Setiono</t>
  </si>
  <si>
    <t>Wahyu Hidayat</t>
  </si>
  <si>
    <t>PB.CIFIC BALIKPAPAN</t>
  </si>
  <si>
    <t>PT SARANA LANGGENG PERKASA</t>
  </si>
  <si>
    <t>Hendry Yanto</t>
  </si>
  <si>
    <t>Edi Santoso</t>
  </si>
  <si>
    <t>Wichindo</t>
  </si>
  <si>
    <t>Bambang Teguh Wahono</t>
  </si>
  <si>
    <t>Bajuri</t>
  </si>
  <si>
    <t>Imade Januartayasa, Sh</t>
  </si>
  <si>
    <t>Igede Putu Aswatha Pidrawan</t>
  </si>
  <si>
    <t>Inzal</t>
  </si>
  <si>
    <t>Muhamad Ronys</t>
  </si>
  <si>
    <t>Harfanas</t>
  </si>
  <si>
    <t>Taufan Indriya Setiawan</t>
  </si>
  <si>
    <t>Albert S.payung</t>
  </si>
  <si>
    <t>PB Lammoro</t>
  </si>
  <si>
    <t>PENGAIRAN</t>
  </si>
  <si>
    <t>Agung Tri Wardoyo</t>
  </si>
  <si>
    <t>Santoso</t>
  </si>
  <si>
    <t>Pb daha</t>
  </si>
  <si>
    <t>Muhajir</t>
  </si>
  <si>
    <t>Ainul Haq</t>
  </si>
  <si>
    <t>Pb. Terumbu</t>
  </si>
  <si>
    <t>Rusliansyah</t>
  </si>
  <si>
    <t>Wahib Al Juhri</t>
  </si>
  <si>
    <t>PB KINDOM MAKASSAR</t>
  </si>
  <si>
    <t>Arifuddin</t>
  </si>
  <si>
    <t>Yakober Mendila, St Me</t>
  </si>
  <si>
    <t>Muhammad</t>
  </si>
  <si>
    <t>Rudianto</t>
  </si>
  <si>
    <t>Swadaya Badminton Club</t>
  </si>
  <si>
    <t>D.jumagianto</t>
  </si>
  <si>
    <t>Muhammad Nur</t>
  </si>
  <si>
    <t>PB Tiger</t>
  </si>
  <si>
    <t>Ely Sasmoko</t>
  </si>
  <si>
    <t>Rika Susanto</t>
  </si>
  <si>
    <t>Didik Sumargono</t>
  </si>
  <si>
    <t>Hadi Supratiknyo</t>
  </si>
  <si>
    <t>Steven Songgigilan</t>
  </si>
  <si>
    <t>Sudaryono</t>
  </si>
  <si>
    <t>PB GBC</t>
  </si>
  <si>
    <t>Supardi Abdullah (5/8)</t>
  </si>
  <si>
    <t>Sofyar Sandi Mansyur (5/8)</t>
  </si>
  <si>
    <t>Akhmad Faturahman</t>
  </si>
  <si>
    <t>Eko Siswanto</t>
  </si>
  <si>
    <t>PB APRIO</t>
  </si>
  <si>
    <t>Yusfiani</t>
  </si>
  <si>
    <t>Misbah</t>
  </si>
  <si>
    <t>Steven Hermanus</t>
  </si>
  <si>
    <t>Ruddy Bukanaung</t>
  </si>
  <si>
    <t>PB BERKAT JAYAPURA</t>
  </si>
  <si>
    <t>Thomas Tommy</t>
  </si>
  <si>
    <t>Muharram</t>
  </si>
  <si>
    <t>BANKALTIMTARA</t>
  </si>
  <si>
    <t>KESHAB TIMUR</t>
  </si>
  <si>
    <t>Suhaendi Noor (3/4)</t>
  </si>
  <si>
    <t>Fila Watch Makassar</t>
  </si>
  <si>
    <t>Theo Durus Yohanes</t>
  </si>
  <si>
    <t>Maulana</t>
  </si>
  <si>
    <t>Rommy Djemmy Tampi.</t>
  </si>
  <si>
    <t>Alamal</t>
  </si>
  <si>
    <t>PB Jaya Abadi Balikpapan</t>
  </si>
  <si>
    <t>Sotieli Harefa</t>
  </si>
  <si>
    <t>Hariyanto Wibowo</t>
  </si>
  <si>
    <t>Dedy Prayitno</t>
  </si>
  <si>
    <t>Fahmi Abdullah</t>
  </si>
  <si>
    <t>PB ABX</t>
  </si>
  <si>
    <t>Mohammad Natsir</t>
  </si>
  <si>
    <t>Asziar</t>
  </si>
  <si>
    <t>Irwan Burhanuddin (5/8)</t>
  </si>
  <si>
    <t>Rudiansyah (5/8)</t>
  </si>
  <si>
    <t>Sfarak</t>
  </si>
  <si>
    <t>Fristiono</t>
  </si>
  <si>
    <t>Awal Alauddin</t>
  </si>
  <si>
    <t>Peery Hanidjaja</t>
  </si>
  <si>
    <t>I Made Adi Sartika</t>
  </si>
  <si>
    <t>Didik Noorhadi</t>
  </si>
  <si>
    <t>Iwan Iriawan</t>
  </si>
  <si>
    <t>PB LD STAR</t>
  </si>
  <si>
    <t xml:space="preserve">PB GOLD STAR </t>
  </si>
  <si>
    <t>Hasri</t>
  </si>
  <si>
    <t>Eka Wahyudi</t>
  </si>
  <si>
    <t>PB. A-NOE</t>
  </si>
  <si>
    <t>PLATINUM</t>
  </si>
  <si>
    <t>Unang Rahmat (2)</t>
  </si>
  <si>
    <t>Eko Hamiseno (2)</t>
  </si>
  <si>
    <t>Flandy Limpele (3/4)</t>
  </si>
  <si>
    <t>Dedy Sardiana (3/4)</t>
  </si>
  <si>
    <t>Marlev Mario Mainaky (3/4)</t>
  </si>
  <si>
    <t>Tawabin (5/8)</t>
  </si>
  <si>
    <t>Hamzah Hasan (5/8)</t>
  </si>
  <si>
    <t>Dieky Susilo (5/8)</t>
  </si>
  <si>
    <t>Herman (5/8)</t>
  </si>
  <si>
    <t>GANDA DEWASA PUTRA</t>
  </si>
  <si>
    <t>Moh. Reza Pahlevi I. (1)</t>
  </si>
  <si>
    <t>Sabar Karyaman Gutama (1)</t>
  </si>
  <si>
    <t>PB Karunia Group</t>
  </si>
  <si>
    <t>Marcus Fernaldi Gideon (2)</t>
  </si>
  <si>
    <t>Rahmat Hidayat (2)</t>
  </si>
  <si>
    <t>PB . Platinum</t>
  </si>
  <si>
    <t>Kenas Adi Haryanto (3/4)</t>
  </si>
  <si>
    <t>Gilang Krisandi Toyo Pramana (3/4)</t>
  </si>
  <si>
    <t>Hafiz Faizal (3/4)</t>
  </si>
  <si>
    <t>Erwin Rendana Purnomo (3/4)</t>
  </si>
  <si>
    <t>Olsen Christian</t>
  </si>
  <si>
    <t>Ferdi Septiyadi</t>
  </si>
  <si>
    <t>Muhammad Dzaky Mulyadi</t>
  </si>
  <si>
    <t>Dedad Alpasha Dinejad</t>
  </si>
  <si>
    <t>M. Rizky Andrian</t>
  </si>
  <si>
    <t>Akhmad Mustapa</t>
  </si>
  <si>
    <t>Muhammad Aldo Apriyandi</t>
  </si>
  <si>
    <t>Haqim Teguh Prayitna</t>
  </si>
  <si>
    <t>Alfian</t>
  </si>
  <si>
    <t>Robi Rehabli</t>
  </si>
  <si>
    <t>Ilham Anugrah Rachman</t>
  </si>
  <si>
    <t>Muhammad Ibnu Juniawan Muhyani</t>
  </si>
  <si>
    <t>PB SEBU</t>
  </si>
  <si>
    <t>Mafio Dzakwan Arief</t>
  </si>
  <si>
    <t>Ahmad Sasfariansyah Siregar</t>
  </si>
  <si>
    <t>Andi Rasya Ramadan Irawan</t>
  </si>
  <si>
    <t>Muhammad Firzatullah Anugrah Sonny Romansyah</t>
  </si>
  <si>
    <t>Rahman</t>
  </si>
  <si>
    <t>Iskandar Zulkarnain</t>
  </si>
  <si>
    <t>PB. Sanggam Raya</t>
  </si>
  <si>
    <t>Muhammad Aldy Pradana</t>
  </si>
  <si>
    <t>Muhammad Aldo Pradana</t>
  </si>
  <si>
    <t>Hidayat Sorang, St</t>
  </si>
  <si>
    <t>Ridho Abdi Prakoso</t>
  </si>
  <si>
    <t>Haikal Afrizal</t>
  </si>
  <si>
    <t>Rifaiq Harianto</t>
  </si>
  <si>
    <t>PB NOAH REBORN</t>
  </si>
  <si>
    <t>Nugroho Agil Siswanto</t>
  </si>
  <si>
    <t>Muhammad Havy Assani</t>
  </si>
  <si>
    <t>Janes Kornellius</t>
  </si>
  <si>
    <t>Angga Pramudia</t>
  </si>
  <si>
    <t>Muhammad Saiful</t>
  </si>
  <si>
    <t>Musrizal Nadir</t>
  </si>
  <si>
    <t>Irham Setiawan Muis</t>
  </si>
  <si>
    <t>Riky Widianto</t>
  </si>
  <si>
    <t>Danny Bawa Chrisnanta</t>
  </si>
  <si>
    <t>Reza Pratama Putra</t>
  </si>
  <si>
    <t>Farez</t>
  </si>
  <si>
    <t>Irfan Fajri</t>
  </si>
  <si>
    <t>Aslin Jaya</t>
  </si>
  <si>
    <t>Herman Nur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</si>
</sst>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164" fontId="1" fillId="0" borderId="10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3" borderId="0" xfId="0" applyFont="1" applyFill="1" applyAlignment="1">
      <alignment vertical="center"/>
    </xf>
    <xf numFmtId="0" fontId="2" fillId="3" borderId="0" xfId="0" applyFont="1" applyFill="1"/>
    <xf numFmtId="0" fontId="5" fillId="3" borderId="0" xfId="0" applyFont="1" applyFill="1"/>
    <xf numFmtId="0" fontId="0" fillId="3" borderId="0" xfId="0" applyFill="1"/>
    <xf numFmtId="164" fontId="2" fillId="3" borderId="0" xfId="0" applyNumberFormat="1" applyFont="1" applyFill="1"/>
    <xf numFmtId="164" fontId="1" fillId="0" borderId="0" xfId="0" applyNumberFormat="1" applyFont="1"/>
    <xf numFmtId="0" fontId="2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164" fontId="0" fillId="0" borderId="0" xfId="0" applyNumberFormat="1" applyAlignment="1">
      <alignment wrapText="1"/>
    </xf>
    <xf numFmtId="164" fontId="1" fillId="0" borderId="10" xfId="0" applyNumberFormat="1" applyFont="1" applyBorder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0" fillId="0" borderId="1" xfId="0" applyBorder="1"/>
    <xf numFmtId="164" fontId="0" fillId="3" borderId="0" xfId="0" applyNumberFormat="1" applyFill="1"/>
    <xf numFmtId="0" fontId="0" fillId="3" borderId="8" xfId="0" applyFill="1" applyBorder="1" applyAlignment="1">
      <alignment horizontal="right"/>
    </xf>
    <xf numFmtId="0" fontId="0" fillId="3" borderId="8" xfId="0" applyFill="1" applyBorder="1" applyAlignment="1">
      <alignment horizontal="left"/>
    </xf>
    <xf numFmtId="0" fontId="0" fillId="3" borderId="9" xfId="0" applyFill="1" applyBorder="1"/>
    <xf numFmtId="0" fontId="1" fillId="0" borderId="10" xfId="0" applyFont="1" applyBorder="1"/>
    <xf numFmtId="0" fontId="1" fillId="3" borderId="0" xfId="0" applyFont="1" applyFill="1"/>
    <xf numFmtId="0" fontId="0" fillId="4" borderId="0" xfId="0" applyFill="1"/>
    <xf numFmtId="164" fontId="0" fillId="4" borderId="0" xfId="0" applyNumberFormat="1" applyFill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64" fontId="1" fillId="3" borderId="0" xfId="0" applyNumberFormat="1" applyFont="1" applyFill="1"/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4" xfId="0" applyFill="1" applyBorder="1"/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/>
    <xf numFmtId="164" fontId="6" fillId="3" borderId="0" xfId="0" applyNumberFormat="1" applyFont="1" applyFill="1"/>
    <xf numFmtId="164" fontId="6" fillId="3" borderId="8" xfId="0" applyNumberFormat="1" applyFont="1" applyFill="1" applyBorder="1"/>
    <xf numFmtId="164" fontId="6" fillId="3" borderId="2" xfId="0" applyNumberFormat="1" applyFont="1" applyFill="1" applyBorder="1"/>
    <xf numFmtId="164" fontId="6" fillId="3" borderId="9" xfId="0" applyNumberFormat="1" applyFont="1" applyFill="1" applyBorder="1"/>
    <xf numFmtId="164" fontId="6" fillId="3" borderId="3" xfId="0" applyNumberFormat="1" applyFont="1" applyFill="1" applyBorder="1"/>
    <xf numFmtId="164" fontId="6" fillId="3" borderId="8" xfId="0" applyNumberFormat="1" applyFont="1" applyFill="1" applyBorder="1" applyAlignment="1">
      <alignment wrapText="1"/>
    </xf>
    <xf numFmtId="164" fontId="6" fillId="3" borderId="9" xfId="0" applyNumberFormat="1" applyFont="1" applyFill="1" applyBorder="1" applyAlignment="1">
      <alignment wrapText="1"/>
    </xf>
    <xf numFmtId="164" fontId="6" fillId="3" borderId="0" xfId="0" applyNumberFormat="1" applyFont="1" applyFill="1" applyAlignment="1">
      <alignment wrapText="1"/>
    </xf>
    <xf numFmtId="164" fontId="6" fillId="0" borderId="0" xfId="0" applyNumberFormat="1" applyFont="1" applyAlignment="1">
      <alignment wrapText="1"/>
    </xf>
    <xf numFmtId="164" fontId="6" fillId="0" borderId="0" xfId="0" applyNumberFormat="1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6" fontId="0" fillId="0" borderId="1" xfId="0" quotePrefix="1" applyNumberFormat="1" applyBorder="1"/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6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A477-4A23-454A-B094-BF17EFCDC47F}">
  <dimension ref="A1:AH75"/>
  <sheetViews>
    <sheetView view="pageBreakPreview" topLeftCell="A34" zoomScale="55" zoomScaleNormal="100" zoomScaleSheetLayoutView="55" workbookViewId="0">
      <selection activeCell="I9" sqref="I9"/>
    </sheetView>
  </sheetViews>
  <sheetFormatPr defaultRowHeight="18.95" customHeight="1" x14ac:dyDescent="0.25"/>
  <cols>
    <col min="1" max="1" width="5.85546875" customWidth="1"/>
    <col min="2" max="2" width="42.7109375" style="35" customWidth="1"/>
    <col min="3" max="3" width="60.7109375" style="13" customWidth="1"/>
    <col min="4" max="4" width="3.28515625" customWidth="1"/>
    <col min="5" max="5" width="3" customWidth="1"/>
    <col min="6" max="6" width="1.5703125" customWidth="1"/>
    <col min="7" max="7" width="8.85546875" customWidth="1"/>
    <col min="8" max="8" width="2" customWidth="1"/>
    <col min="9" max="9" width="3.85546875" customWidth="1"/>
    <col min="10" max="10" width="1.5703125" customWidth="1"/>
    <col min="11" max="11" width="8.28515625" style="21" customWidth="1"/>
    <col min="12" max="12" width="2" style="21" customWidth="1"/>
    <col min="13" max="13" width="4.42578125" style="21" customWidth="1"/>
    <col min="14" max="14" width="1.5703125" style="21" customWidth="1"/>
    <col min="15" max="15" width="6.42578125" style="21" customWidth="1"/>
    <col min="16" max="16" width="2" style="21" customWidth="1"/>
    <col min="17" max="17" width="3.42578125" style="21" customWidth="1"/>
    <col min="18" max="18" width="1.5703125" style="21" customWidth="1"/>
    <col min="19" max="19" width="5.28515625" customWidth="1"/>
    <col min="20" max="20" width="3" bestFit="1" customWidth="1"/>
    <col min="21" max="21" width="3" customWidth="1"/>
    <col min="22" max="22" width="1.5703125" customWidth="1"/>
    <col min="23" max="23" width="5.5703125" customWidth="1"/>
    <col min="24" max="24" width="2" customWidth="1"/>
    <col min="25" max="25" width="3" customWidth="1"/>
    <col min="26" max="26" width="2.42578125" customWidth="1"/>
    <col min="27" max="27" width="5.42578125" customWidth="1"/>
    <col min="28" max="28" width="19.5703125" style="71" bestFit="1" customWidth="1"/>
    <col min="29" max="29" width="37.28515625" bestFit="1" customWidth="1"/>
    <col min="30" max="30" width="8.5703125" customWidth="1"/>
    <col min="31" max="31" width="25.7109375" bestFit="1" customWidth="1"/>
  </cols>
  <sheetData>
    <row r="1" spans="1:31" ht="36" customHeight="1" x14ac:dyDescent="0.25">
      <c r="A1" s="26" t="s">
        <v>18</v>
      </c>
      <c r="B1" s="32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31" ht="18.95" customHeight="1" x14ac:dyDescent="0.35">
      <c r="A2" s="28" t="s">
        <v>201</v>
      </c>
      <c r="B2" s="33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31" ht="18.95" customHeight="1" x14ac:dyDescent="0.25">
      <c r="A3" s="27" t="s">
        <v>13</v>
      </c>
      <c r="B3" s="32"/>
      <c r="C3" s="25"/>
      <c r="D3" s="27" t="s">
        <v>14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31" ht="18.95" customHeight="1" x14ac:dyDescent="0.25">
      <c r="A4" s="27" t="s">
        <v>20</v>
      </c>
      <c r="B4" s="34"/>
      <c r="C4" s="25"/>
      <c r="D4" s="30" t="s">
        <v>21</v>
      </c>
      <c r="E4" s="29"/>
      <c r="F4" s="29"/>
      <c r="G4" s="29"/>
      <c r="H4" s="29"/>
      <c r="I4" s="29"/>
      <c r="J4" s="29"/>
      <c r="K4" s="48"/>
      <c r="L4" s="48"/>
      <c r="M4" s="48"/>
      <c r="N4" s="48"/>
      <c r="O4" s="48"/>
      <c r="P4" s="48"/>
      <c r="Q4" s="48"/>
      <c r="R4" s="48"/>
      <c r="S4" s="29"/>
      <c r="T4" s="29"/>
      <c r="U4" s="29"/>
      <c r="V4" s="29"/>
      <c r="W4" s="29"/>
      <c r="X4" s="29"/>
      <c r="Y4" s="29"/>
      <c r="Z4" s="29"/>
      <c r="AA4" s="11" t="str">
        <f>A4</f>
        <v>24 - 29 Agustus 2026</v>
      </c>
      <c r="AB4" s="72"/>
      <c r="AC4" s="12"/>
      <c r="AD4" s="12"/>
    </row>
    <row r="5" spans="1:31" ht="18.95" customHeight="1" thickBot="1" x14ac:dyDescent="0.3">
      <c r="C5" s="25"/>
    </row>
    <row r="6" spans="1:31" ht="18.95" customHeight="1" thickTop="1" thickBot="1" x14ac:dyDescent="0.3">
      <c r="A6" s="22" t="s">
        <v>0</v>
      </c>
      <c r="B6" s="36" t="s">
        <v>1</v>
      </c>
      <c r="C6" s="14" t="s">
        <v>2</v>
      </c>
      <c r="D6" s="84" t="s">
        <v>3</v>
      </c>
      <c r="E6" s="84"/>
      <c r="F6" s="84"/>
      <c r="G6" s="84"/>
      <c r="H6" s="84" t="s">
        <v>4</v>
      </c>
      <c r="I6" s="84"/>
      <c r="J6" s="84"/>
      <c r="K6" s="84"/>
      <c r="L6" s="84" t="s">
        <v>5</v>
      </c>
      <c r="M6" s="84"/>
      <c r="N6" s="84"/>
      <c r="O6" s="84"/>
      <c r="P6" s="84" t="s">
        <v>6</v>
      </c>
      <c r="Q6" s="84"/>
      <c r="R6" s="84"/>
      <c r="S6" s="84"/>
      <c r="T6" s="84" t="s">
        <v>7</v>
      </c>
      <c r="U6" s="84"/>
      <c r="V6" s="84"/>
      <c r="W6" s="84"/>
      <c r="X6" s="84"/>
      <c r="Y6" s="84"/>
      <c r="Z6" s="84"/>
      <c r="AA6" t="s">
        <v>8</v>
      </c>
    </row>
    <row r="7" spans="1:31" ht="18.95" customHeight="1" thickTop="1" x14ac:dyDescent="0.25">
      <c r="A7" s="10"/>
      <c r="B7" s="37"/>
      <c r="C7" s="1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B7" s="71" t="s">
        <v>15</v>
      </c>
      <c r="AC7" t="s">
        <v>16</v>
      </c>
    </row>
    <row r="8" spans="1:31" ht="21" customHeight="1" x14ac:dyDescent="0.35">
      <c r="A8" s="80">
        <v>1</v>
      </c>
      <c r="B8" s="69" t="str">
        <f>IFERROR(AB8,0)</f>
        <v>BAYAN</v>
      </c>
      <c r="C8" s="70" t="str">
        <f>IFERROR(AC8,0)</f>
        <v>Moh. Reza Pahlevi I. (1)</v>
      </c>
      <c r="AA8" s="77">
        <v>1</v>
      </c>
      <c r="AB8" s="74" t="s">
        <v>45</v>
      </c>
      <c r="AC8" s="74" t="s">
        <v>202</v>
      </c>
      <c r="AE8" t="str">
        <f>AB8</f>
        <v>BAYAN</v>
      </c>
    </row>
    <row r="9" spans="1:31" ht="21" customHeight="1" x14ac:dyDescent="0.35">
      <c r="A9" s="80"/>
      <c r="B9" s="69" t="str">
        <f>IFERROR(AB9,0)</f>
        <v>BAYAN</v>
      </c>
      <c r="C9" s="70" t="str">
        <f t="shared" ref="C9:C71" si="0">IFERROR(AC9,0)</f>
        <v>Sabar Karyaman Gutama (1)</v>
      </c>
      <c r="AA9" s="77"/>
      <c r="AB9" s="74" t="s">
        <v>45</v>
      </c>
      <c r="AC9" s="74" t="s">
        <v>203</v>
      </c>
      <c r="AD9" t="s">
        <v>17</v>
      </c>
      <c r="AE9" t="str">
        <f>AB9</f>
        <v>BAYAN</v>
      </c>
    </row>
    <row r="10" spans="1:31" ht="21" customHeight="1" x14ac:dyDescent="0.35">
      <c r="A10" s="78">
        <v>2</v>
      </c>
      <c r="B10" s="66">
        <f t="shared" ref="B10:B71" si="1">IFERROR(AB10,0)</f>
        <v>0</v>
      </c>
      <c r="C10" s="63">
        <f t="shared" si="0"/>
        <v>0</v>
      </c>
      <c r="AA10" s="77">
        <v>2</v>
      </c>
      <c r="AB10" s="38"/>
      <c r="AC10" s="38"/>
      <c r="AD10" t="s">
        <v>17</v>
      </c>
      <c r="AE10">
        <f t="shared" ref="AE10:AE71" si="2">AB10</f>
        <v>0</v>
      </c>
    </row>
    <row r="11" spans="1:31" ht="21" customHeight="1" x14ac:dyDescent="0.35">
      <c r="A11" s="79"/>
      <c r="B11" s="67">
        <f t="shared" si="1"/>
        <v>0</v>
      </c>
      <c r="C11" s="65" t="str">
        <f t="shared" si="0"/>
        <v>Bye</v>
      </c>
      <c r="D11" s="16" t="s">
        <v>9</v>
      </c>
      <c r="E11" s="17">
        <v>1</v>
      </c>
      <c r="F11" s="17" t="s">
        <v>10</v>
      </c>
      <c r="G11" s="5"/>
      <c r="H11" s="21"/>
      <c r="I11" s="21"/>
      <c r="J11" s="21"/>
      <c r="AA11" s="77"/>
      <c r="AB11" s="38"/>
      <c r="AC11" s="38" t="s">
        <v>12</v>
      </c>
      <c r="AD11" t="s">
        <v>17</v>
      </c>
      <c r="AE11">
        <f t="shared" si="2"/>
        <v>0</v>
      </c>
    </row>
    <row r="12" spans="1:31" ht="21" customHeight="1" x14ac:dyDescent="0.35">
      <c r="A12" s="76">
        <v>3</v>
      </c>
      <c r="B12" s="66" t="str">
        <f t="shared" si="1"/>
        <v>TR SPORT BERAU</v>
      </c>
      <c r="C12" s="61" t="str">
        <f t="shared" si="0"/>
        <v>Olsen Christian</v>
      </c>
      <c r="G12" s="3"/>
      <c r="AA12" s="77">
        <v>3</v>
      </c>
      <c r="AB12" s="74" t="s">
        <v>99</v>
      </c>
      <c r="AC12" s="74" t="s">
        <v>212</v>
      </c>
      <c r="AD12" t="s">
        <v>17</v>
      </c>
      <c r="AE12" t="str">
        <f t="shared" si="2"/>
        <v>TR SPORT BERAU</v>
      </c>
    </row>
    <row r="13" spans="1:31" ht="21" customHeight="1" x14ac:dyDescent="0.35">
      <c r="A13" s="76"/>
      <c r="B13" s="67" t="str">
        <f t="shared" si="1"/>
        <v>TR SPORT BERAU</v>
      </c>
      <c r="C13" s="61" t="str">
        <f t="shared" si="0"/>
        <v>Ferdi Septiyadi</v>
      </c>
      <c r="G13" s="3"/>
      <c r="H13" s="16" t="s">
        <v>9</v>
      </c>
      <c r="I13" s="8">
        <v>17</v>
      </c>
      <c r="J13" s="8" t="s">
        <v>10</v>
      </c>
      <c r="K13" s="5"/>
      <c r="AA13" s="77"/>
      <c r="AB13" s="74" t="s">
        <v>99</v>
      </c>
      <c r="AC13" s="74" t="s">
        <v>213</v>
      </c>
      <c r="AD13" t="s">
        <v>17</v>
      </c>
      <c r="AE13" t="str">
        <f t="shared" si="2"/>
        <v>TR SPORT BERAU</v>
      </c>
    </row>
    <row r="14" spans="1:31" ht="21" customHeight="1" x14ac:dyDescent="0.35">
      <c r="A14" s="78">
        <v>4</v>
      </c>
      <c r="B14" s="66">
        <f t="shared" si="1"/>
        <v>0</v>
      </c>
      <c r="C14" s="63">
        <f t="shared" si="0"/>
        <v>0</v>
      </c>
      <c r="D14" s="9"/>
      <c r="E14" s="9"/>
      <c r="F14" s="9"/>
      <c r="G14" s="2"/>
      <c r="K14" s="6"/>
      <c r="AA14" s="77">
        <v>4</v>
      </c>
      <c r="AB14" s="38"/>
      <c r="AC14" s="38"/>
      <c r="AD14" t="s">
        <v>17</v>
      </c>
      <c r="AE14">
        <f t="shared" si="2"/>
        <v>0</v>
      </c>
    </row>
    <row r="15" spans="1:31" ht="21" customHeight="1" x14ac:dyDescent="0.35">
      <c r="A15" s="79"/>
      <c r="B15" s="67">
        <f t="shared" si="1"/>
        <v>0</v>
      </c>
      <c r="C15" s="65" t="str">
        <f t="shared" si="0"/>
        <v>Bye</v>
      </c>
      <c r="D15" s="16" t="s">
        <v>9</v>
      </c>
      <c r="E15" s="17">
        <f>E11+1</f>
        <v>2</v>
      </c>
      <c r="F15" s="17" t="s">
        <v>10</v>
      </c>
      <c r="G15" s="21"/>
      <c r="H15" s="21"/>
      <c r="I15" s="21"/>
      <c r="J15" s="21"/>
      <c r="K15" s="6"/>
      <c r="AA15" s="77"/>
      <c r="AB15" s="38"/>
      <c r="AC15" s="38" t="s">
        <v>12</v>
      </c>
      <c r="AD15" t="s">
        <v>17</v>
      </c>
      <c r="AE15">
        <f t="shared" si="2"/>
        <v>0</v>
      </c>
    </row>
    <row r="16" spans="1:31" ht="21" customHeight="1" x14ac:dyDescent="0.35">
      <c r="A16" s="76">
        <v>5</v>
      </c>
      <c r="B16" s="66" t="str">
        <f t="shared" si="1"/>
        <v>PB Karunia Primatama Group</v>
      </c>
      <c r="C16" s="61" t="str">
        <f t="shared" si="0"/>
        <v>Muhammad Dzaky Mulyadi</v>
      </c>
      <c r="K16" s="6"/>
      <c r="AA16" s="77">
        <v>5</v>
      </c>
      <c r="AB16" s="74" t="s">
        <v>60</v>
      </c>
      <c r="AC16" s="74" t="s">
        <v>214</v>
      </c>
      <c r="AD16" t="s">
        <v>17</v>
      </c>
      <c r="AE16" t="str">
        <f t="shared" si="2"/>
        <v>PB Karunia Primatama Group</v>
      </c>
    </row>
    <row r="17" spans="1:33" ht="21" customHeight="1" x14ac:dyDescent="0.35">
      <c r="A17" s="76"/>
      <c r="B17" s="67" t="str">
        <f t="shared" si="1"/>
        <v>PB Karunia Primatama Group</v>
      </c>
      <c r="C17" s="61" t="str">
        <f t="shared" si="0"/>
        <v>Dedad Alpasha Dinejad</v>
      </c>
      <c r="K17" s="6"/>
      <c r="L17" s="18" t="s">
        <v>9</v>
      </c>
      <c r="M17" s="23">
        <v>25</v>
      </c>
      <c r="N17" s="23" t="s">
        <v>10</v>
      </c>
      <c r="O17" s="5"/>
      <c r="AA17" s="77"/>
      <c r="AB17" s="74" t="s">
        <v>60</v>
      </c>
      <c r="AC17" s="74" t="s">
        <v>215</v>
      </c>
      <c r="AD17" t="s">
        <v>17</v>
      </c>
      <c r="AE17" t="str">
        <f t="shared" si="2"/>
        <v>PB Karunia Primatama Group</v>
      </c>
      <c r="AG17" s="38"/>
    </row>
    <row r="18" spans="1:33" ht="21" customHeight="1" x14ac:dyDescent="0.35">
      <c r="A18" s="78">
        <v>6</v>
      </c>
      <c r="B18" s="66">
        <f t="shared" si="1"/>
        <v>0</v>
      </c>
      <c r="C18" s="63">
        <f t="shared" si="0"/>
        <v>0</v>
      </c>
      <c r="G18" s="21"/>
      <c r="H18" s="21"/>
      <c r="I18" s="21"/>
      <c r="J18" s="21"/>
      <c r="K18" s="6"/>
      <c r="O18" s="6"/>
      <c r="AA18" s="77">
        <v>6</v>
      </c>
      <c r="AB18" s="38"/>
      <c r="AC18" s="38"/>
      <c r="AD18" t="s">
        <v>17</v>
      </c>
      <c r="AE18">
        <f t="shared" si="2"/>
        <v>0</v>
      </c>
    </row>
    <row r="19" spans="1:33" ht="21" customHeight="1" x14ac:dyDescent="0.35">
      <c r="A19" s="79"/>
      <c r="B19" s="67">
        <f t="shared" si="1"/>
        <v>0</v>
      </c>
      <c r="C19" s="65" t="str">
        <f t="shared" si="0"/>
        <v>Bye</v>
      </c>
      <c r="D19" s="16" t="s">
        <v>9</v>
      </c>
      <c r="E19" s="17">
        <f>E15+1</f>
        <v>3</v>
      </c>
      <c r="F19" s="17" t="s">
        <v>10</v>
      </c>
      <c r="G19" s="5"/>
      <c r="H19" s="21"/>
      <c r="I19" s="21"/>
      <c r="J19" s="21"/>
      <c r="K19" s="6"/>
      <c r="O19" s="6"/>
      <c r="AA19" s="77"/>
      <c r="AB19" s="38"/>
      <c r="AC19" s="38" t="s">
        <v>12</v>
      </c>
      <c r="AD19" t="s">
        <v>17</v>
      </c>
      <c r="AE19">
        <f t="shared" si="2"/>
        <v>0</v>
      </c>
    </row>
    <row r="20" spans="1:33" ht="21" customHeight="1" x14ac:dyDescent="0.35">
      <c r="A20" s="76">
        <v>7</v>
      </c>
      <c r="B20" s="66" t="str">
        <f t="shared" si="1"/>
        <v>BAYAN</v>
      </c>
      <c r="C20" s="61" t="str">
        <f t="shared" si="0"/>
        <v>M. Rizky Andrian</v>
      </c>
      <c r="G20" s="6"/>
      <c r="H20" s="24"/>
      <c r="I20" s="24"/>
      <c r="J20" s="24"/>
      <c r="K20" s="7"/>
      <c r="O20" s="6"/>
      <c r="AA20" s="77">
        <v>7</v>
      </c>
      <c r="AB20" s="74" t="s">
        <v>45</v>
      </c>
      <c r="AC20" s="74" t="s">
        <v>216</v>
      </c>
      <c r="AD20" t="s">
        <v>17</v>
      </c>
      <c r="AE20" t="str">
        <f t="shared" si="2"/>
        <v>BAYAN</v>
      </c>
    </row>
    <row r="21" spans="1:33" ht="21" customHeight="1" x14ac:dyDescent="0.35">
      <c r="A21" s="76"/>
      <c r="B21" s="67" t="str">
        <f t="shared" si="1"/>
        <v>BAYAN</v>
      </c>
      <c r="C21" s="61" t="str">
        <f t="shared" si="0"/>
        <v>Akhmad Mustapa</v>
      </c>
      <c r="G21" s="6"/>
      <c r="H21" s="21" t="s">
        <v>9</v>
      </c>
      <c r="I21" s="21">
        <f>1+I13</f>
        <v>18</v>
      </c>
      <c r="J21" s="21" t="s">
        <v>10</v>
      </c>
      <c r="O21" s="6"/>
      <c r="AA21" s="77"/>
      <c r="AB21" s="74" t="s">
        <v>45</v>
      </c>
      <c r="AC21" s="74" t="s">
        <v>217</v>
      </c>
      <c r="AD21" t="s">
        <v>17</v>
      </c>
      <c r="AE21" t="str">
        <f t="shared" si="2"/>
        <v>BAYAN</v>
      </c>
    </row>
    <row r="22" spans="1:33" ht="21" customHeight="1" x14ac:dyDescent="0.35">
      <c r="A22" s="78">
        <v>8</v>
      </c>
      <c r="B22" s="66" t="str">
        <f t="shared" si="1"/>
        <v>PB HEVINDO BALIKPAPAN</v>
      </c>
      <c r="C22" s="63" t="str">
        <f t="shared" si="0"/>
        <v>Muhammad Aldo Apriyandi</v>
      </c>
      <c r="D22" s="9"/>
      <c r="E22" s="9"/>
      <c r="F22" s="9"/>
      <c r="G22" s="7"/>
      <c r="H22" s="21"/>
      <c r="I22" s="21"/>
      <c r="J22" s="21"/>
      <c r="O22" s="6"/>
      <c r="AA22" s="77">
        <v>8</v>
      </c>
      <c r="AB22" s="74" t="s">
        <v>54</v>
      </c>
      <c r="AC22" s="74" t="s">
        <v>218</v>
      </c>
      <c r="AD22" t="s">
        <v>17</v>
      </c>
      <c r="AE22" t="str">
        <f t="shared" si="2"/>
        <v>PB HEVINDO BALIKPAPAN</v>
      </c>
    </row>
    <row r="23" spans="1:33" ht="21" customHeight="1" x14ac:dyDescent="0.35">
      <c r="A23" s="79"/>
      <c r="B23" s="67" t="str">
        <f t="shared" si="1"/>
        <v>PB HEVINDO BALIKPAPAN</v>
      </c>
      <c r="C23" s="65" t="str">
        <f t="shared" si="0"/>
        <v>Haqim Teguh Prayitna</v>
      </c>
      <c r="D23" s="16" t="s">
        <v>9</v>
      </c>
      <c r="E23" s="17">
        <f>E19+1</f>
        <v>4</v>
      </c>
      <c r="F23" s="17" t="s">
        <v>10</v>
      </c>
      <c r="G23" s="21"/>
      <c r="H23" s="21"/>
      <c r="I23" s="21"/>
      <c r="J23" s="21"/>
      <c r="O23" s="6"/>
      <c r="AA23" s="77"/>
      <c r="AB23" s="74" t="s">
        <v>54</v>
      </c>
      <c r="AC23" s="74" t="s">
        <v>219</v>
      </c>
      <c r="AD23" t="s">
        <v>17</v>
      </c>
      <c r="AE23" t="str">
        <f t="shared" si="2"/>
        <v>PB HEVINDO BALIKPAPAN</v>
      </c>
    </row>
    <row r="24" spans="1:33" ht="21" customHeight="1" x14ac:dyDescent="0.35">
      <c r="A24" s="76">
        <v>9</v>
      </c>
      <c r="B24" s="66" t="str">
        <f t="shared" si="1"/>
        <v>MAXPLAY BC</v>
      </c>
      <c r="C24" s="61" t="str">
        <f t="shared" si="0"/>
        <v>Gilang Krisandi Toyo Pramana (3/4)</v>
      </c>
      <c r="G24" s="21"/>
      <c r="H24" s="21"/>
      <c r="I24" s="21"/>
      <c r="J24" s="21"/>
      <c r="O24" s="6"/>
      <c r="AA24" s="77">
        <v>9</v>
      </c>
      <c r="AB24" s="74" t="s">
        <v>71</v>
      </c>
      <c r="AC24" s="74" t="s">
        <v>209</v>
      </c>
      <c r="AD24" t="s">
        <v>17</v>
      </c>
      <c r="AE24" t="str">
        <f t="shared" si="2"/>
        <v>MAXPLAY BC</v>
      </c>
    </row>
    <row r="25" spans="1:33" ht="21" customHeight="1" x14ac:dyDescent="0.35">
      <c r="A25" s="76"/>
      <c r="B25" s="67" t="str">
        <f t="shared" si="1"/>
        <v>MAXPLAY BC</v>
      </c>
      <c r="C25" s="61" t="str">
        <f t="shared" si="0"/>
        <v>Erwin Rendana Purnomo (3/4)</v>
      </c>
      <c r="G25" s="21"/>
      <c r="H25" s="21"/>
      <c r="I25" s="21"/>
      <c r="J25" s="21"/>
      <c r="O25" s="6"/>
      <c r="P25" s="18" t="s">
        <v>9</v>
      </c>
      <c r="Q25" s="23">
        <v>29</v>
      </c>
      <c r="R25" s="23" t="s">
        <v>10</v>
      </c>
      <c r="S25" s="1"/>
      <c r="AA25" s="77"/>
      <c r="AB25" s="74" t="s">
        <v>71</v>
      </c>
      <c r="AC25" s="74" t="s">
        <v>211</v>
      </c>
      <c r="AD25" t="s">
        <v>17</v>
      </c>
      <c r="AE25" t="str">
        <f t="shared" si="2"/>
        <v>MAXPLAY BC</v>
      </c>
    </row>
    <row r="26" spans="1:33" ht="21" customHeight="1" x14ac:dyDescent="0.35">
      <c r="A26" s="78">
        <v>10</v>
      </c>
      <c r="B26" s="66">
        <f t="shared" si="1"/>
        <v>0</v>
      </c>
      <c r="C26" s="63">
        <f t="shared" si="0"/>
        <v>0</v>
      </c>
      <c r="G26" s="21"/>
      <c r="H26" s="21"/>
      <c r="I26" s="21"/>
      <c r="J26" s="21"/>
      <c r="O26" s="6"/>
      <c r="S26" s="3"/>
      <c r="AA26" s="77">
        <v>10</v>
      </c>
      <c r="AB26" s="38"/>
      <c r="AC26" s="38"/>
      <c r="AD26" t="s">
        <v>17</v>
      </c>
      <c r="AE26">
        <f t="shared" si="2"/>
        <v>0</v>
      </c>
    </row>
    <row r="27" spans="1:33" ht="21" customHeight="1" x14ac:dyDescent="0.35">
      <c r="A27" s="79"/>
      <c r="B27" s="67">
        <f t="shared" si="1"/>
        <v>0</v>
      </c>
      <c r="C27" s="65" t="str">
        <f t="shared" si="0"/>
        <v>Bye</v>
      </c>
      <c r="D27" s="16" t="s">
        <v>9</v>
      </c>
      <c r="E27" s="17">
        <f>E23+1</f>
        <v>5</v>
      </c>
      <c r="F27" s="17" t="s">
        <v>10</v>
      </c>
      <c r="G27" s="5"/>
      <c r="H27" s="21"/>
      <c r="I27" s="21"/>
      <c r="J27" s="21"/>
      <c r="O27" s="6"/>
      <c r="S27" s="3"/>
      <c r="AA27" s="77"/>
      <c r="AB27" s="38"/>
      <c r="AC27" s="38" t="s">
        <v>12</v>
      </c>
      <c r="AD27" t="s">
        <v>17</v>
      </c>
      <c r="AE27">
        <f t="shared" si="2"/>
        <v>0</v>
      </c>
    </row>
    <row r="28" spans="1:33" ht="21" customHeight="1" x14ac:dyDescent="0.35">
      <c r="A28" s="76">
        <v>11</v>
      </c>
      <c r="B28" s="66" t="str">
        <f t="shared" si="1"/>
        <v>BAYAN</v>
      </c>
      <c r="C28" s="61" t="str">
        <f t="shared" si="0"/>
        <v>Alfian</v>
      </c>
      <c r="G28" s="6"/>
      <c r="H28" s="21"/>
      <c r="I28" s="21"/>
      <c r="J28" s="21"/>
      <c r="O28" s="6"/>
      <c r="S28" s="3"/>
      <c r="AA28" s="77">
        <v>11</v>
      </c>
      <c r="AB28" s="74" t="s">
        <v>45</v>
      </c>
      <c r="AC28" s="74" t="s">
        <v>220</v>
      </c>
      <c r="AD28" t="s">
        <v>17</v>
      </c>
      <c r="AE28" t="str">
        <f t="shared" si="2"/>
        <v>BAYAN</v>
      </c>
    </row>
    <row r="29" spans="1:33" ht="21" customHeight="1" x14ac:dyDescent="0.35">
      <c r="A29" s="76"/>
      <c r="B29" s="67" t="str">
        <f t="shared" si="1"/>
        <v>BAYAN</v>
      </c>
      <c r="C29" s="61" t="str">
        <f t="shared" si="0"/>
        <v>Robi Rehabli</v>
      </c>
      <c r="G29" s="6"/>
      <c r="H29" s="8" t="s">
        <v>9</v>
      </c>
      <c r="I29" s="8">
        <f>1+I21</f>
        <v>19</v>
      </c>
      <c r="J29" s="8" t="s">
        <v>10</v>
      </c>
      <c r="K29" s="5"/>
      <c r="O29" s="6"/>
      <c r="S29" s="3"/>
      <c r="AA29" s="77"/>
      <c r="AB29" s="74" t="s">
        <v>45</v>
      </c>
      <c r="AC29" s="74" t="s">
        <v>221</v>
      </c>
      <c r="AD29" t="s">
        <v>17</v>
      </c>
      <c r="AE29" t="str">
        <f t="shared" si="2"/>
        <v>BAYAN</v>
      </c>
    </row>
    <row r="30" spans="1:33" ht="21" customHeight="1" x14ac:dyDescent="0.35">
      <c r="A30" s="78">
        <v>12</v>
      </c>
      <c r="B30" s="66" t="str">
        <f t="shared" si="1"/>
        <v>PB SEBU</v>
      </c>
      <c r="C30" s="63" t="str">
        <f t="shared" si="0"/>
        <v>Ilham Anugrah Rachman</v>
      </c>
      <c r="D30" s="9"/>
      <c r="E30" s="9"/>
      <c r="F30" s="9"/>
      <c r="G30" s="7"/>
      <c r="K30" s="6"/>
      <c r="O30" s="6"/>
      <c r="S30" s="3"/>
      <c r="AA30" s="77">
        <v>12</v>
      </c>
      <c r="AB30" s="74" t="s">
        <v>224</v>
      </c>
      <c r="AC30" s="74" t="s">
        <v>222</v>
      </c>
      <c r="AD30" t="s">
        <v>17</v>
      </c>
      <c r="AE30" t="str">
        <f t="shared" si="2"/>
        <v>PB SEBU</v>
      </c>
    </row>
    <row r="31" spans="1:33" ht="21" customHeight="1" x14ac:dyDescent="0.35">
      <c r="A31" s="79"/>
      <c r="B31" s="67" t="str">
        <f t="shared" si="1"/>
        <v>PB SEBU</v>
      </c>
      <c r="C31" s="65" t="str">
        <f t="shared" si="0"/>
        <v>Muhammad Ibnu Juniawan Muhyani</v>
      </c>
      <c r="D31" s="16" t="s">
        <v>9</v>
      </c>
      <c r="E31" s="17">
        <f>E27+1</f>
        <v>6</v>
      </c>
      <c r="F31" s="17" t="s">
        <v>10</v>
      </c>
      <c r="G31" s="21"/>
      <c r="H31" s="21"/>
      <c r="I31" s="21"/>
      <c r="J31" s="21"/>
      <c r="K31" s="6"/>
      <c r="O31" s="6"/>
      <c r="S31" s="3"/>
      <c r="AA31" s="77"/>
      <c r="AB31" s="74" t="s">
        <v>224</v>
      </c>
      <c r="AC31" s="74" t="s">
        <v>223</v>
      </c>
      <c r="AD31" t="s">
        <v>17</v>
      </c>
      <c r="AE31" t="str">
        <f t="shared" si="2"/>
        <v>PB SEBU</v>
      </c>
    </row>
    <row r="32" spans="1:33" ht="21" customHeight="1" x14ac:dyDescent="0.35">
      <c r="A32" s="76">
        <v>13</v>
      </c>
      <c r="B32" s="66" t="str">
        <f t="shared" si="1"/>
        <v>PB MULIA BARU SANGATTA</v>
      </c>
      <c r="C32" s="61" t="str">
        <f t="shared" si="0"/>
        <v>Mafio Dzakwan Arief</v>
      </c>
      <c r="G32" s="21"/>
      <c r="K32" s="6"/>
      <c r="L32" s="24"/>
      <c r="M32" s="24"/>
      <c r="N32" s="24"/>
      <c r="O32" s="7"/>
      <c r="S32" s="3"/>
      <c r="AA32" s="77">
        <v>13</v>
      </c>
      <c r="AB32" s="74" t="s">
        <v>57</v>
      </c>
      <c r="AC32" s="74" t="s">
        <v>225</v>
      </c>
      <c r="AD32" t="s">
        <v>17</v>
      </c>
      <c r="AE32" t="str">
        <f t="shared" si="2"/>
        <v>PB MULIA BARU SANGATTA</v>
      </c>
    </row>
    <row r="33" spans="1:34" ht="21" customHeight="1" x14ac:dyDescent="0.35">
      <c r="A33" s="76"/>
      <c r="B33" s="67" t="str">
        <f t="shared" si="1"/>
        <v>PB MULIA BARU SANGATTA</v>
      </c>
      <c r="C33" s="61" t="str">
        <f t="shared" si="0"/>
        <v>Ahmad Sasfariansyah Siregar</v>
      </c>
      <c r="G33" s="21"/>
      <c r="K33" s="6"/>
      <c r="L33" s="18" t="s">
        <v>9</v>
      </c>
      <c r="M33" s="23">
        <f>1+M17</f>
        <v>26</v>
      </c>
      <c r="N33" s="23" t="s">
        <v>10</v>
      </c>
      <c r="S33" s="3"/>
      <c r="AA33" s="77"/>
      <c r="AB33" s="74" t="s">
        <v>57</v>
      </c>
      <c r="AC33" s="74" t="s">
        <v>226</v>
      </c>
      <c r="AD33" t="s">
        <v>17</v>
      </c>
      <c r="AE33" t="str">
        <f t="shared" si="2"/>
        <v>PB MULIA BARU SANGATTA</v>
      </c>
    </row>
    <row r="34" spans="1:34" ht="21" customHeight="1" x14ac:dyDescent="0.35">
      <c r="A34" s="78">
        <v>14</v>
      </c>
      <c r="B34" s="66">
        <f t="shared" si="1"/>
        <v>0</v>
      </c>
      <c r="C34" s="63">
        <f t="shared" si="0"/>
        <v>0</v>
      </c>
      <c r="G34" s="21"/>
      <c r="H34" s="21"/>
      <c r="I34" s="21"/>
      <c r="J34" s="21"/>
      <c r="K34" s="6"/>
      <c r="S34" s="3"/>
      <c r="AA34" s="77">
        <v>14</v>
      </c>
      <c r="AB34" s="38"/>
      <c r="AC34" s="38"/>
      <c r="AD34" t="s">
        <v>17</v>
      </c>
      <c r="AE34">
        <f t="shared" si="2"/>
        <v>0</v>
      </c>
    </row>
    <row r="35" spans="1:34" ht="21" customHeight="1" x14ac:dyDescent="0.35">
      <c r="A35" s="79"/>
      <c r="B35" s="67">
        <f t="shared" si="1"/>
        <v>0</v>
      </c>
      <c r="C35" s="65" t="str">
        <f t="shared" si="0"/>
        <v>Bye</v>
      </c>
      <c r="D35" s="16" t="s">
        <v>9</v>
      </c>
      <c r="E35" s="17">
        <f>E31+1</f>
        <v>7</v>
      </c>
      <c r="F35" s="17" t="s">
        <v>10</v>
      </c>
      <c r="G35" s="5"/>
      <c r="H35" s="21"/>
      <c r="I35" s="21"/>
      <c r="J35" s="21"/>
      <c r="K35" s="6"/>
      <c r="S35" s="3"/>
      <c r="AA35" s="77"/>
      <c r="AB35" s="38"/>
      <c r="AC35" s="38" t="s">
        <v>12</v>
      </c>
      <c r="AD35" t="s">
        <v>17</v>
      </c>
      <c r="AE35">
        <f t="shared" si="2"/>
        <v>0</v>
      </c>
    </row>
    <row r="36" spans="1:34" ht="21" customHeight="1" x14ac:dyDescent="0.35">
      <c r="A36" s="76">
        <v>15</v>
      </c>
      <c r="B36" s="66" t="str">
        <f t="shared" si="1"/>
        <v>PB HEVINDO BALIKPAPAN</v>
      </c>
      <c r="C36" s="61" t="str">
        <f t="shared" si="0"/>
        <v>Andi Rasya Ramadan Irawan</v>
      </c>
      <c r="G36" s="6"/>
      <c r="H36" s="24"/>
      <c r="I36" s="24"/>
      <c r="J36" s="24"/>
      <c r="K36" s="7"/>
      <c r="S36" s="3"/>
      <c r="AA36" s="77">
        <v>15</v>
      </c>
      <c r="AB36" s="74" t="s">
        <v>54</v>
      </c>
      <c r="AC36" s="74" t="s">
        <v>227</v>
      </c>
      <c r="AD36" t="s">
        <v>17</v>
      </c>
      <c r="AE36" t="str">
        <f t="shared" si="2"/>
        <v>PB HEVINDO BALIKPAPAN</v>
      </c>
    </row>
    <row r="37" spans="1:34" ht="21" customHeight="1" x14ac:dyDescent="0.35">
      <c r="A37" s="76"/>
      <c r="B37" s="67" t="str">
        <f t="shared" si="1"/>
        <v>PB HEVINDO BALIKPAPAN</v>
      </c>
      <c r="C37" s="61" t="str">
        <f t="shared" si="0"/>
        <v>Muhammad Firzatullah Anugrah Sonny Romansyah</v>
      </c>
      <c r="G37" s="6"/>
      <c r="H37" s="21" t="s">
        <v>9</v>
      </c>
      <c r="I37" s="21">
        <f>1+I29</f>
        <v>20</v>
      </c>
      <c r="J37" s="21" t="s">
        <v>10</v>
      </c>
      <c r="S37" s="3"/>
      <c r="AA37" s="77"/>
      <c r="AB37" s="74" t="s">
        <v>54</v>
      </c>
      <c r="AC37" s="74" t="s">
        <v>228</v>
      </c>
      <c r="AD37" t="s">
        <v>17</v>
      </c>
      <c r="AE37" t="str">
        <f t="shared" si="2"/>
        <v>PB HEVINDO BALIKPAPAN</v>
      </c>
    </row>
    <row r="38" spans="1:34" ht="21" customHeight="1" x14ac:dyDescent="0.35">
      <c r="A38" s="78">
        <v>16</v>
      </c>
      <c r="B38" s="66" t="str">
        <f t="shared" si="1"/>
        <v>BAYAN</v>
      </c>
      <c r="C38" s="63" t="str">
        <f t="shared" si="0"/>
        <v>Rahman</v>
      </c>
      <c r="D38" s="9"/>
      <c r="E38" s="9"/>
      <c r="F38" s="9"/>
      <c r="G38" s="7"/>
      <c r="H38" s="21"/>
      <c r="I38" s="21"/>
      <c r="J38" s="21"/>
      <c r="S38" s="3"/>
      <c r="AA38" s="77">
        <v>16</v>
      </c>
      <c r="AB38" s="74" t="s">
        <v>45</v>
      </c>
      <c r="AC38" s="74" t="s">
        <v>229</v>
      </c>
      <c r="AD38" t="s">
        <v>17</v>
      </c>
      <c r="AE38" t="str">
        <f t="shared" si="2"/>
        <v>BAYAN</v>
      </c>
    </row>
    <row r="39" spans="1:34" ht="21" customHeight="1" x14ac:dyDescent="0.35">
      <c r="A39" s="79"/>
      <c r="B39" s="67" t="str">
        <f t="shared" si="1"/>
        <v>BAYAN</v>
      </c>
      <c r="C39" s="65" t="str">
        <f t="shared" si="0"/>
        <v>Iskandar Zulkarnain</v>
      </c>
      <c r="D39" s="16" t="s">
        <v>9</v>
      </c>
      <c r="E39" s="17">
        <f>E35+1</f>
        <v>8</v>
      </c>
      <c r="F39" s="17" t="s">
        <v>10</v>
      </c>
      <c r="G39" s="21"/>
      <c r="H39" s="21"/>
      <c r="I39" s="21"/>
      <c r="J39" s="21"/>
      <c r="S39" s="3"/>
      <c r="AA39" s="77"/>
      <c r="AB39" s="74" t="s">
        <v>45</v>
      </c>
      <c r="AC39" s="74" t="s">
        <v>230</v>
      </c>
      <c r="AD39" t="s">
        <v>17</v>
      </c>
      <c r="AE39" t="str">
        <f t="shared" si="2"/>
        <v>BAYAN</v>
      </c>
      <c r="AG39" s="20"/>
      <c r="AH39" s="38"/>
    </row>
    <row r="40" spans="1:34" ht="21" customHeight="1" x14ac:dyDescent="0.35">
      <c r="A40" s="76">
        <v>17</v>
      </c>
      <c r="B40" s="66" t="str">
        <f t="shared" si="1"/>
        <v>PB. Sanggam Raya</v>
      </c>
      <c r="C40" s="61" t="str">
        <f t="shared" si="0"/>
        <v>Muhammad Aldy Pradana</v>
      </c>
      <c r="G40" s="21"/>
      <c r="H40" s="21"/>
      <c r="I40" s="21"/>
      <c r="J40" s="21"/>
      <c r="S40" s="3"/>
      <c r="T40" s="19"/>
      <c r="W40" s="9"/>
      <c r="AA40" s="77">
        <v>17</v>
      </c>
      <c r="AB40" s="74" t="s">
        <v>231</v>
      </c>
      <c r="AC40" s="74" t="s">
        <v>232</v>
      </c>
      <c r="AD40" t="s">
        <v>17</v>
      </c>
      <c r="AE40" t="str">
        <f t="shared" si="2"/>
        <v>PB. Sanggam Raya</v>
      </c>
    </row>
    <row r="41" spans="1:34" ht="21" customHeight="1" x14ac:dyDescent="0.35">
      <c r="A41" s="76"/>
      <c r="B41" s="67" t="str">
        <f t="shared" si="1"/>
        <v>PB. Sanggam Raya</v>
      </c>
      <c r="C41" s="61" t="str">
        <f t="shared" si="0"/>
        <v>Muhammad Aldo Pradana</v>
      </c>
      <c r="G41" s="21"/>
      <c r="H41" s="21"/>
      <c r="I41" s="21"/>
      <c r="J41" s="21"/>
      <c r="S41" s="3"/>
      <c r="T41" s="18" t="s">
        <v>9</v>
      </c>
      <c r="U41" s="23">
        <v>31</v>
      </c>
      <c r="V41" s="23" t="s">
        <v>10</v>
      </c>
      <c r="W41" s="8"/>
      <c r="AA41" s="77"/>
      <c r="AB41" s="74" t="s">
        <v>231</v>
      </c>
      <c r="AC41" s="74" t="s">
        <v>233</v>
      </c>
      <c r="AD41" t="s">
        <v>17</v>
      </c>
      <c r="AE41" t="str">
        <f t="shared" si="2"/>
        <v>PB. Sanggam Raya</v>
      </c>
    </row>
    <row r="42" spans="1:34" ht="21" customHeight="1" x14ac:dyDescent="0.35">
      <c r="A42" s="78">
        <v>18</v>
      </c>
      <c r="B42" s="66" t="str">
        <f t="shared" si="1"/>
        <v>TR SPORT BERAU</v>
      </c>
      <c r="C42" s="63" t="str">
        <f t="shared" si="0"/>
        <v>Hidayat Sorang, St</v>
      </c>
      <c r="G42" s="21"/>
      <c r="H42" s="21"/>
      <c r="I42" s="21"/>
      <c r="J42" s="21"/>
      <c r="S42" s="3"/>
      <c r="AA42" s="77">
        <v>18</v>
      </c>
      <c r="AB42" s="74" t="s">
        <v>99</v>
      </c>
      <c r="AC42" s="74" t="s">
        <v>234</v>
      </c>
      <c r="AD42" t="s">
        <v>17</v>
      </c>
      <c r="AE42" t="str">
        <f t="shared" si="2"/>
        <v>TR SPORT BERAU</v>
      </c>
    </row>
    <row r="43" spans="1:34" ht="21" customHeight="1" x14ac:dyDescent="0.35">
      <c r="A43" s="79"/>
      <c r="B43" s="67" t="str">
        <f t="shared" si="1"/>
        <v>TR SPORT BERAU</v>
      </c>
      <c r="C43" s="65" t="str">
        <f t="shared" si="0"/>
        <v>Ridho Abdi Prakoso</v>
      </c>
      <c r="D43" s="16" t="s">
        <v>9</v>
      </c>
      <c r="E43" s="17">
        <f>E39+1</f>
        <v>9</v>
      </c>
      <c r="F43" s="17" t="s">
        <v>10</v>
      </c>
      <c r="G43" s="5"/>
      <c r="H43" s="21"/>
      <c r="I43" s="21"/>
      <c r="J43" s="21"/>
      <c r="S43" s="3"/>
      <c r="AA43" s="77"/>
      <c r="AB43" s="74" t="s">
        <v>99</v>
      </c>
      <c r="AC43" s="74" t="s">
        <v>235</v>
      </c>
      <c r="AD43" t="s">
        <v>17</v>
      </c>
      <c r="AE43" t="str">
        <f t="shared" si="2"/>
        <v>TR SPORT BERAU</v>
      </c>
      <c r="AG43" s="38"/>
    </row>
    <row r="44" spans="1:34" ht="21" customHeight="1" x14ac:dyDescent="0.35">
      <c r="A44" s="76">
        <v>19</v>
      </c>
      <c r="B44" s="66">
        <f t="shared" si="1"/>
        <v>0</v>
      </c>
      <c r="C44" s="61">
        <f t="shared" si="0"/>
        <v>0</v>
      </c>
      <c r="G44" s="6"/>
      <c r="H44" s="21"/>
      <c r="I44" s="21"/>
      <c r="J44" s="21"/>
      <c r="S44" s="3"/>
      <c r="AA44" s="77">
        <v>19</v>
      </c>
      <c r="AB44" s="20"/>
      <c r="AD44" t="s">
        <v>17</v>
      </c>
      <c r="AE44">
        <f t="shared" si="2"/>
        <v>0</v>
      </c>
    </row>
    <row r="45" spans="1:34" ht="21" customHeight="1" x14ac:dyDescent="0.35">
      <c r="A45" s="76"/>
      <c r="B45" s="67">
        <f t="shared" si="1"/>
        <v>0</v>
      </c>
      <c r="C45" s="61" t="str">
        <f t="shared" si="0"/>
        <v>Bye</v>
      </c>
      <c r="G45" s="6"/>
      <c r="H45" s="8" t="s">
        <v>9</v>
      </c>
      <c r="I45" s="8">
        <f>1+I37</f>
        <v>21</v>
      </c>
      <c r="J45" s="8" t="s">
        <v>10</v>
      </c>
      <c r="K45" s="5"/>
      <c r="S45" s="3"/>
      <c r="AA45" s="77"/>
      <c r="AB45" s="38"/>
      <c r="AC45" s="38" t="s">
        <v>12</v>
      </c>
      <c r="AD45" t="s">
        <v>17</v>
      </c>
      <c r="AE45">
        <f t="shared" si="2"/>
        <v>0</v>
      </c>
    </row>
    <row r="46" spans="1:34" ht="21" customHeight="1" x14ac:dyDescent="0.35">
      <c r="A46" s="78">
        <v>20</v>
      </c>
      <c r="B46" s="66" t="str">
        <f t="shared" si="1"/>
        <v>MAXPLAY BC</v>
      </c>
      <c r="C46" s="63" t="str">
        <f t="shared" si="0"/>
        <v>Haikal Afrizal</v>
      </c>
      <c r="D46" s="9"/>
      <c r="E46" s="9"/>
      <c r="F46" s="9"/>
      <c r="G46" s="7"/>
      <c r="K46" s="6"/>
      <c r="S46" s="3"/>
      <c r="AA46" s="77">
        <v>20</v>
      </c>
      <c r="AB46" s="74" t="s">
        <v>71</v>
      </c>
      <c r="AC46" s="74" t="s">
        <v>236</v>
      </c>
      <c r="AD46" t="s">
        <v>17</v>
      </c>
      <c r="AE46" t="str">
        <f t="shared" si="2"/>
        <v>MAXPLAY BC</v>
      </c>
    </row>
    <row r="47" spans="1:34" ht="21" customHeight="1" x14ac:dyDescent="0.35">
      <c r="A47" s="79"/>
      <c r="B47" s="67" t="str">
        <f t="shared" si="1"/>
        <v>MAXPLAY BC</v>
      </c>
      <c r="C47" s="65" t="str">
        <f t="shared" si="0"/>
        <v>Rifaiq Harianto</v>
      </c>
      <c r="D47" s="16" t="s">
        <v>9</v>
      </c>
      <c r="E47" s="17">
        <f>E43+1</f>
        <v>10</v>
      </c>
      <c r="F47" s="17" t="s">
        <v>10</v>
      </c>
      <c r="G47" s="21"/>
      <c r="H47" s="21"/>
      <c r="I47" s="21"/>
      <c r="J47" s="21"/>
      <c r="K47" s="6"/>
      <c r="S47" s="3"/>
      <c r="AA47" s="77"/>
      <c r="AB47" s="74" t="s">
        <v>71</v>
      </c>
      <c r="AC47" s="74" t="s">
        <v>237</v>
      </c>
      <c r="AD47" t="s">
        <v>17</v>
      </c>
      <c r="AE47" t="str">
        <f t="shared" si="2"/>
        <v>MAXPLAY BC</v>
      </c>
    </row>
    <row r="48" spans="1:34" ht="21" customHeight="1" x14ac:dyDescent="0.35">
      <c r="A48" s="76">
        <v>21</v>
      </c>
      <c r="B48" s="66" t="str">
        <f t="shared" si="1"/>
        <v>PB NOAH REBORN</v>
      </c>
      <c r="C48" s="61" t="str">
        <f t="shared" si="0"/>
        <v>Nugroho Agil Siswanto</v>
      </c>
      <c r="G48" s="21"/>
      <c r="K48" s="6"/>
      <c r="S48" s="3"/>
      <c r="AA48" s="77">
        <v>21</v>
      </c>
      <c r="AB48" s="74" t="s">
        <v>238</v>
      </c>
      <c r="AC48" s="74" t="s">
        <v>239</v>
      </c>
      <c r="AD48" t="s">
        <v>17</v>
      </c>
      <c r="AE48" t="str">
        <f t="shared" si="2"/>
        <v>PB NOAH REBORN</v>
      </c>
    </row>
    <row r="49" spans="1:31" ht="21" customHeight="1" x14ac:dyDescent="0.35">
      <c r="A49" s="76"/>
      <c r="B49" s="67" t="str">
        <f t="shared" si="1"/>
        <v>PB NOAH REBORN</v>
      </c>
      <c r="C49" s="61" t="str">
        <f t="shared" si="0"/>
        <v>Muhammad Havy Assani</v>
      </c>
      <c r="G49" s="21"/>
      <c r="K49" s="6"/>
      <c r="L49" s="18" t="s">
        <v>9</v>
      </c>
      <c r="M49" s="23">
        <f>1+M33</f>
        <v>27</v>
      </c>
      <c r="N49" s="23" t="s">
        <v>10</v>
      </c>
      <c r="O49" s="5"/>
      <c r="S49" s="3"/>
      <c r="AA49" s="77"/>
      <c r="AB49" s="74" t="s">
        <v>238</v>
      </c>
      <c r="AC49" s="74" t="s">
        <v>240</v>
      </c>
      <c r="AD49" t="s">
        <v>17</v>
      </c>
      <c r="AE49" t="str">
        <f t="shared" si="2"/>
        <v>PB NOAH REBORN</v>
      </c>
    </row>
    <row r="50" spans="1:31" ht="21" customHeight="1" x14ac:dyDescent="0.35">
      <c r="A50" s="78">
        <v>22</v>
      </c>
      <c r="B50" s="66" t="str">
        <f t="shared" si="1"/>
        <v>BAYAN</v>
      </c>
      <c r="C50" s="63" t="str">
        <f t="shared" si="0"/>
        <v>Rusliansyah</v>
      </c>
      <c r="G50" s="21"/>
      <c r="H50" s="21"/>
      <c r="I50" s="21"/>
      <c r="J50" s="21"/>
      <c r="K50" s="6"/>
      <c r="O50" s="6"/>
      <c r="S50" s="3"/>
      <c r="AA50" s="77">
        <v>22</v>
      </c>
      <c r="AB50" s="74" t="s">
        <v>45</v>
      </c>
      <c r="AC50" s="74" t="s">
        <v>131</v>
      </c>
      <c r="AD50" t="s">
        <v>17</v>
      </c>
      <c r="AE50" t="str">
        <f t="shared" si="2"/>
        <v>BAYAN</v>
      </c>
    </row>
    <row r="51" spans="1:31" ht="21" customHeight="1" x14ac:dyDescent="0.35">
      <c r="A51" s="79"/>
      <c r="B51" s="67" t="str">
        <f t="shared" si="1"/>
        <v>BAYAN</v>
      </c>
      <c r="C51" s="65" t="str">
        <f t="shared" si="0"/>
        <v>Janes Kornellius</v>
      </c>
      <c r="D51" s="16" t="s">
        <v>9</v>
      </c>
      <c r="E51" s="17">
        <f>E47+1</f>
        <v>11</v>
      </c>
      <c r="F51" s="17" t="s">
        <v>10</v>
      </c>
      <c r="G51" s="5"/>
      <c r="H51" s="21"/>
      <c r="I51" s="21"/>
      <c r="J51" s="21"/>
      <c r="K51" s="6"/>
      <c r="O51" s="6"/>
      <c r="S51" s="3"/>
      <c r="AA51" s="77"/>
      <c r="AB51" s="74" t="s">
        <v>45</v>
      </c>
      <c r="AC51" s="74" t="s">
        <v>241</v>
      </c>
      <c r="AD51" t="s">
        <v>17</v>
      </c>
      <c r="AE51" t="str">
        <f t="shared" si="2"/>
        <v>BAYAN</v>
      </c>
    </row>
    <row r="52" spans="1:31" ht="21" customHeight="1" x14ac:dyDescent="0.35">
      <c r="A52" s="76">
        <v>23</v>
      </c>
      <c r="B52" s="66">
        <f t="shared" si="1"/>
        <v>0</v>
      </c>
      <c r="C52" s="61">
        <f t="shared" si="0"/>
        <v>0</v>
      </c>
      <c r="G52" s="6"/>
      <c r="H52" s="24"/>
      <c r="I52" s="24"/>
      <c r="J52" s="24"/>
      <c r="K52" s="7"/>
      <c r="O52" s="6"/>
      <c r="S52" s="3"/>
      <c r="AA52" s="77">
        <v>23</v>
      </c>
      <c r="AB52" s="38"/>
      <c r="AC52" s="38"/>
      <c r="AD52" t="s">
        <v>17</v>
      </c>
      <c r="AE52">
        <f t="shared" si="2"/>
        <v>0</v>
      </c>
    </row>
    <row r="53" spans="1:31" ht="21" customHeight="1" x14ac:dyDescent="0.35">
      <c r="A53" s="76"/>
      <c r="B53" s="67">
        <f t="shared" si="1"/>
        <v>0</v>
      </c>
      <c r="C53" s="61" t="str">
        <f t="shared" si="0"/>
        <v>Bye</v>
      </c>
      <c r="G53" s="6"/>
      <c r="H53" s="21" t="s">
        <v>9</v>
      </c>
      <c r="I53" s="21">
        <f>1+I45</f>
        <v>22</v>
      </c>
      <c r="J53" s="21" t="s">
        <v>10</v>
      </c>
      <c r="O53" s="6"/>
      <c r="S53" s="3"/>
      <c r="AA53" s="77"/>
      <c r="AB53" s="38"/>
      <c r="AC53" s="38" t="s">
        <v>12</v>
      </c>
      <c r="AD53" t="s">
        <v>17</v>
      </c>
      <c r="AE53">
        <f t="shared" si="2"/>
        <v>0</v>
      </c>
    </row>
    <row r="54" spans="1:31" ht="21" customHeight="1" x14ac:dyDescent="0.35">
      <c r="A54" s="78">
        <v>24</v>
      </c>
      <c r="B54" s="66" t="str">
        <f t="shared" si="1"/>
        <v>PB . Platinum</v>
      </c>
      <c r="C54" s="63" t="str">
        <f t="shared" si="0"/>
        <v>Kenas Adi Haryanto (3/4)</v>
      </c>
      <c r="D54" s="9"/>
      <c r="E54" s="9"/>
      <c r="F54" s="9"/>
      <c r="G54" s="7"/>
      <c r="H54" s="21"/>
      <c r="I54" s="21"/>
      <c r="J54" s="21"/>
      <c r="O54" s="6"/>
      <c r="S54" s="3"/>
      <c r="AA54" s="77">
        <v>24</v>
      </c>
      <c r="AB54" s="74" t="s">
        <v>207</v>
      </c>
      <c r="AC54" s="74" t="s">
        <v>208</v>
      </c>
      <c r="AD54" t="s">
        <v>17</v>
      </c>
      <c r="AE54" t="str">
        <f t="shared" si="2"/>
        <v>PB . Platinum</v>
      </c>
    </row>
    <row r="55" spans="1:31" ht="21" customHeight="1" x14ac:dyDescent="0.35">
      <c r="A55" s="79"/>
      <c r="B55" s="67" t="str">
        <f t="shared" si="1"/>
        <v>PB . Platinum</v>
      </c>
      <c r="C55" s="65" t="str">
        <f t="shared" si="0"/>
        <v>Hafiz Faizal (3/4)</v>
      </c>
      <c r="D55" s="16" t="s">
        <v>9</v>
      </c>
      <c r="E55" s="17">
        <f>E51+1</f>
        <v>12</v>
      </c>
      <c r="F55" s="17" t="s">
        <v>10</v>
      </c>
      <c r="G55" s="21"/>
      <c r="H55" s="21"/>
      <c r="I55" s="21"/>
      <c r="J55" s="21"/>
      <c r="O55" s="6"/>
      <c r="S55" s="3"/>
      <c r="AA55" s="77"/>
      <c r="AB55" s="74" t="s">
        <v>207</v>
      </c>
      <c r="AC55" s="75" t="s">
        <v>210</v>
      </c>
      <c r="AD55" t="s">
        <v>17</v>
      </c>
      <c r="AE55" t="str">
        <f t="shared" si="2"/>
        <v>PB . Platinum</v>
      </c>
    </row>
    <row r="56" spans="1:31" ht="21" customHeight="1" x14ac:dyDescent="0.35">
      <c r="A56" s="76">
        <v>25</v>
      </c>
      <c r="B56" s="66" t="str">
        <f t="shared" si="1"/>
        <v>PB HEVINDO BALIKPAPAN</v>
      </c>
      <c r="C56" s="61" t="str">
        <f t="shared" si="0"/>
        <v>Angga Pramudia</v>
      </c>
      <c r="G56" s="21"/>
      <c r="H56" s="21"/>
      <c r="I56" s="21"/>
      <c r="J56" s="21"/>
      <c r="O56" s="6"/>
      <c r="P56" s="24"/>
      <c r="Q56" s="24"/>
      <c r="R56" s="24"/>
      <c r="S56" s="2"/>
      <c r="AA56" s="77">
        <v>25</v>
      </c>
      <c r="AB56" s="74" t="s">
        <v>54</v>
      </c>
      <c r="AC56" s="74" t="s">
        <v>242</v>
      </c>
      <c r="AD56" t="s">
        <v>17</v>
      </c>
      <c r="AE56" t="str">
        <f t="shared" si="2"/>
        <v>PB HEVINDO BALIKPAPAN</v>
      </c>
    </row>
    <row r="57" spans="1:31" ht="21" customHeight="1" x14ac:dyDescent="0.35">
      <c r="A57" s="76"/>
      <c r="B57" s="67" t="str">
        <f t="shared" si="1"/>
        <v>PB HEVINDO BALIKPAPAN</v>
      </c>
      <c r="C57" s="61" t="str">
        <f t="shared" si="0"/>
        <v>Muhammad Saiful</v>
      </c>
      <c r="G57" s="21"/>
      <c r="H57" s="21"/>
      <c r="I57" s="21"/>
      <c r="J57" s="21"/>
      <c r="O57" s="6"/>
      <c r="P57" s="18" t="s">
        <v>9</v>
      </c>
      <c r="Q57" s="23">
        <f>Q25+1</f>
        <v>30</v>
      </c>
      <c r="R57" s="23" t="s">
        <v>10</v>
      </c>
      <c r="AA57" s="77"/>
      <c r="AB57" s="74" t="s">
        <v>54</v>
      </c>
      <c r="AC57" s="74" t="s">
        <v>243</v>
      </c>
      <c r="AD57" t="s">
        <v>17</v>
      </c>
      <c r="AE57" t="str">
        <f t="shared" si="2"/>
        <v>PB HEVINDO BALIKPAPAN</v>
      </c>
    </row>
    <row r="58" spans="1:31" ht="21" customHeight="1" x14ac:dyDescent="0.35">
      <c r="A58" s="78">
        <v>26</v>
      </c>
      <c r="B58" s="66" t="str">
        <f t="shared" si="1"/>
        <v>Pertamina MOR 6</v>
      </c>
      <c r="C58" s="63" t="str">
        <f t="shared" si="0"/>
        <v>Musrizal Nadir</v>
      </c>
      <c r="G58" s="21"/>
      <c r="H58" s="21"/>
      <c r="I58" s="21"/>
      <c r="J58" s="21"/>
      <c r="O58" s="6"/>
      <c r="AA58" s="77">
        <v>26</v>
      </c>
      <c r="AB58" s="74" t="s">
        <v>65</v>
      </c>
      <c r="AC58" s="74" t="s">
        <v>244</v>
      </c>
      <c r="AD58" t="s">
        <v>17</v>
      </c>
      <c r="AE58" t="str">
        <f t="shared" si="2"/>
        <v>Pertamina MOR 6</v>
      </c>
    </row>
    <row r="59" spans="1:31" ht="21" customHeight="1" x14ac:dyDescent="0.35">
      <c r="A59" s="79"/>
      <c r="B59" s="67" t="str">
        <f t="shared" si="1"/>
        <v>Pertamina MOR 6</v>
      </c>
      <c r="C59" s="65" t="str">
        <f t="shared" si="0"/>
        <v>Irham Setiawan Muis</v>
      </c>
      <c r="D59" s="16" t="s">
        <v>9</v>
      </c>
      <c r="E59" s="17">
        <f>E55+1</f>
        <v>13</v>
      </c>
      <c r="F59" s="17" t="s">
        <v>10</v>
      </c>
      <c r="G59" s="5"/>
      <c r="H59" s="21"/>
      <c r="I59" s="21"/>
      <c r="J59" s="21"/>
      <c r="O59" s="6"/>
      <c r="AA59" s="77"/>
      <c r="AB59" s="74" t="s">
        <v>65</v>
      </c>
      <c r="AC59" s="74" t="s">
        <v>245</v>
      </c>
      <c r="AD59" t="s">
        <v>17</v>
      </c>
      <c r="AE59" t="str">
        <f t="shared" si="2"/>
        <v>Pertamina MOR 6</v>
      </c>
    </row>
    <row r="60" spans="1:31" ht="21" customHeight="1" x14ac:dyDescent="0.35">
      <c r="A60" s="76">
        <v>27</v>
      </c>
      <c r="B60" s="66">
        <f t="shared" si="1"/>
        <v>0</v>
      </c>
      <c r="C60" s="61">
        <f t="shared" si="0"/>
        <v>0</v>
      </c>
      <c r="G60" s="6"/>
      <c r="H60" s="21"/>
      <c r="I60" s="21"/>
      <c r="J60" s="21"/>
      <c r="O60" s="6"/>
      <c r="AA60" s="77">
        <v>27</v>
      </c>
      <c r="AB60" s="38"/>
      <c r="AC60" s="38"/>
      <c r="AD60" t="s">
        <v>17</v>
      </c>
      <c r="AE60">
        <f t="shared" si="2"/>
        <v>0</v>
      </c>
    </row>
    <row r="61" spans="1:31" ht="21" customHeight="1" x14ac:dyDescent="0.35">
      <c r="A61" s="76"/>
      <c r="B61" s="67">
        <f t="shared" si="1"/>
        <v>0</v>
      </c>
      <c r="C61" s="61" t="str">
        <f t="shared" si="0"/>
        <v>Bye</v>
      </c>
      <c r="G61" s="6"/>
      <c r="H61" s="8" t="s">
        <v>9</v>
      </c>
      <c r="I61" s="8">
        <f>1+I53</f>
        <v>23</v>
      </c>
      <c r="J61" s="8" t="s">
        <v>10</v>
      </c>
      <c r="K61" s="5"/>
      <c r="O61" s="6"/>
      <c r="AA61" s="77"/>
      <c r="AB61" s="38"/>
      <c r="AC61" s="38" t="s">
        <v>12</v>
      </c>
      <c r="AD61" t="s">
        <v>17</v>
      </c>
      <c r="AE61">
        <f t="shared" si="2"/>
        <v>0</v>
      </c>
    </row>
    <row r="62" spans="1:31" ht="21" customHeight="1" x14ac:dyDescent="0.35">
      <c r="A62" s="78">
        <v>28</v>
      </c>
      <c r="B62" s="66" t="str">
        <f t="shared" si="1"/>
        <v>PB Karunia Primatama Group</v>
      </c>
      <c r="C62" s="63" t="str">
        <f t="shared" si="0"/>
        <v>Riky Widianto</v>
      </c>
      <c r="D62" s="9"/>
      <c r="E62" s="9"/>
      <c r="F62" s="9"/>
      <c r="G62" s="7"/>
      <c r="K62" s="6"/>
      <c r="O62" s="6"/>
      <c r="AA62" s="77">
        <v>28</v>
      </c>
      <c r="AB62" s="74" t="s">
        <v>60</v>
      </c>
      <c r="AC62" s="74" t="s">
        <v>246</v>
      </c>
      <c r="AD62" t="s">
        <v>17</v>
      </c>
      <c r="AE62" t="str">
        <f t="shared" si="2"/>
        <v>PB Karunia Primatama Group</v>
      </c>
    </row>
    <row r="63" spans="1:31" ht="21" customHeight="1" x14ac:dyDescent="0.35">
      <c r="A63" s="79"/>
      <c r="B63" s="67" t="str">
        <f t="shared" si="1"/>
        <v>PB Karunia Primatama Group</v>
      </c>
      <c r="C63" s="65" t="str">
        <f t="shared" si="0"/>
        <v>Danny Bawa Chrisnanta</v>
      </c>
      <c r="D63" s="16" t="s">
        <v>9</v>
      </c>
      <c r="E63" s="17">
        <f>E59+1</f>
        <v>14</v>
      </c>
      <c r="F63" s="17" t="s">
        <v>10</v>
      </c>
      <c r="G63" s="21"/>
      <c r="H63" s="21"/>
      <c r="I63" s="21"/>
      <c r="J63" s="21"/>
      <c r="K63" s="6"/>
      <c r="O63" s="6"/>
      <c r="AA63" s="77"/>
      <c r="AB63" s="74" t="s">
        <v>60</v>
      </c>
      <c r="AC63" s="74" t="s">
        <v>247</v>
      </c>
      <c r="AD63" t="s">
        <v>17</v>
      </c>
      <c r="AE63" t="str">
        <f t="shared" si="2"/>
        <v>PB Karunia Primatama Group</v>
      </c>
    </row>
    <row r="64" spans="1:31" ht="21" customHeight="1" x14ac:dyDescent="0.35">
      <c r="A64" s="76">
        <v>29</v>
      </c>
      <c r="B64" s="66" t="str">
        <f t="shared" si="1"/>
        <v>Farez</v>
      </c>
      <c r="C64" s="61" t="str">
        <f t="shared" si="0"/>
        <v>Irfan Fajri</v>
      </c>
      <c r="G64" s="21"/>
      <c r="K64" s="6"/>
      <c r="L64" s="24"/>
      <c r="M64" s="24"/>
      <c r="N64" s="24"/>
      <c r="O64" s="7"/>
      <c r="AA64" s="77">
        <v>29</v>
      </c>
      <c r="AB64" s="74" t="s">
        <v>249</v>
      </c>
      <c r="AC64" s="74" t="s">
        <v>250</v>
      </c>
      <c r="AD64" t="s">
        <v>17</v>
      </c>
      <c r="AE64" t="str">
        <f t="shared" si="2"/>
        <v>Farez</v>
      </c>
    </row>
    <row r="65" spans="1:31" ht="21" customHeight="1" x14ac:dyDescent="0.35">
      <c r="A65" s="76"/>
      <c r="B65" s="67" t="str">
        <f t="shared" si="1"/>
        <v>Harfanas</v>
      </c>
      <c r="C65" s="61" t="str">
        <f t="shared" si="0"/>
        <v>Reza Pratama Putra</v>
      </c>
      <c r="G65" s="21"/>
      <c r="K65" s="6"/>
      <c r="L65" s="18" t="s">
        <v>9</v>
      </c>
      <c r="M65" s="23">
        <f>1+M49</f>
        <v>28</v>
      </c>
      <c r="N65" s="23" t="s">
        <v>10</v>
      </c>
      <c r="AA65" s="77"/>
      <c r="AB65" s="38" t="s">
        <v>120</v>
      </c>
      <c r="AC65" s="74" t="s">
        <v>248</v>
      </c>
      <c r="AD65" t="s">
        <v>17</v>
      </c>
      <c r="AE65" t="str">
        <f t="shared" si="2"/>
        <v>Harfanas</v>
      </c>
    </row>
    <row r="66" spans="1:31" ht="21" customHeight="1" x14ac:dyDescent="0.35">
      <c r="A66" s="78">
        <v>30</v>
      </c>
      <c r="B66" s="66" t="str">
        <f t="shared" si="1"/>
        <v>BAYAN</v>
      </c>
      <c r="C66" s="63" t="str">
        <f t="shared" si="0"/>
        <v>Aslin Jaya</v>
      </c>
      <c r="D66" s="29"/>
      <c r="E66" s="29"/>
      <c r="G66" s="21"/>
      <c r="H66" s="21"/>
      <c r="I66" s="21"/>
      <c r="J66" s="21"/>
      <c r="K66" s="6"/>
      <c r="AA66" s="77">
        <v>30</v>
      </c>
      <c r="AB66" s="74" t="s">
        <v>45</v>
      </c>
      <c r="AC66" s="74" t="s">
        <v>251</v>
      </c>
      <c r="AD66" t="s">
        <v>17</v>
      </c>
      <c r="AE66" t="str">
        <f t="shared" si="2"/>
        <v>BAYAN</v>
      </c>
    </row>
    <row r="67" spans="1:31" ht="21" customHeight="1" x14ac:dyDescent="0.35">
      <c r="A67" s="79"/>
      <c r="B67" s="67" t="str">
        <f t="shared" si="1"/>
        <v>BAYAN</v>
      </c>
      <c r="C67" s="65" t="str">
        <f t="shared" si="0"/>
        <v>Herman Nur Ali</v>
      </c>
      <c r="D67" s="40" t="s">
        <v>9</v>
      </c>
      <c r="E67" s="41">
        <f>E63+1</f>
        <v>15</v>
      </c>
      <c r="F67" s="17" t="s">
        <v>10</v>
      </c>
      <c r="G67" s="5"/>
      <c r="H67" s="21"/>
      <c r="I67" s="21"/>
      <c r="J67" s="21"/>
      <c r="K67" s="6"/>
      <c r="AA67" s="77"/>
      <c r="AB67" s="74" t="s">
        <v>45</v>
      </c>
      <c r="AC67" s="74" t="s">
        <v>252</v>
      </c>
      <c r="AD67" t="s">
        <v>17</v>
      </c>
      <c r="AE67" t="str">
        <f t="shared" si="2"/>
        <v>BAYAN</v>
      </c>
    </row>
    <row r="68" spans="1:31" ht="21" customHeight="1" x14ac:dyDescent="0.35">
      <c r="A68" s="76">
        <v>31</v>
      </c>
      <c r="B68" s="66">
        <f t="shared" si="1"/>
        <v>0</v>
      </c>
      <c r="C68" s="61">
        <f t="shared" si="0"/>
        <v>0</v>
      </c>
      <c r="D68" s="29"/>
      <c r="E68" s="29"/>
      <c r="G68" s="6"/>
      <c r="H68" s="24"/>
      <c r="I68" s="24"/>
      <c r="J68" s="24"/>
      <c r="K68" s="7"/>
      <c r="AA68" s="77">
        <v>31</v>
      </c>
      <c r="AB68" s="38"/>
      <c r="AC68" s="38"/>
      <c r="AD68" t="s">
        <v>17</v>
      </c>
      <c r="AE68">
        <f t="shared" si="2"/>
        <v>0</v>
      </c>
    </row>
    <row r="69" spans="1:31" ht="21" customHeight="1" x14ac:dyDescent="0.35">
      <c r="A69" s="76"/>
      <c r="B69" s="67">
        <f t="shared" si="1"/>
        <v>0</v>
      </c>
      <c r="C69" s="61" t="str">
        <f t="shared" si="0"/>
        <v>Bye</v>
      </c>
      <c r="D69" s="29"/>
      <c r="E69" s="29"/>
      <c r="G69" s="6"/>
      <c r="H69" s="21" t="s">
        <v>9</v>
      </c>
      <c r="I69" s="21">
        <f>1+I61</f>
        <v>24</v>
      </c>
      <c r="J69" s="21" t="s">
        <v>10</v>
      </c>
      <c r="AA69" s="77"/>
      <c r="AB69" s="38"/>
      <c r="AC69" s="38" t="s">
        <v>12</v>
      </c>
      <c r="AD69" t="s">
        <v>17</v>
      </c>
      <c r="AE69">
        <f t="shared" si="2"/>
        <v>0</v>
      </c>
    </row>
    <row r="70" spans="1:31" ht="21" customHeight="1" x14ac:dyDescent="0.35">
      <c r="A70" s="78">
        <v>32</v>
      </c>
      <c r="B70" s="66" t="str">
        <f t="shared" si="1"/>
        <v>PB Karunia Group</v>
      </c>
      <c r="C70" s="63" t="str">
        <f t="shared" si="0"/>
        <v>Marcus Fernaldi Gideon (2)</v>
      </c>
      <c r="D70" s="42"/>
      <c r="E70" s="42"/>
      <c r="F70" s="9"/>
      <c r="G70" s="7"/>
      <c r="H70" s="21"/>
      <c r="I70" s="21"/>
      <c r="J70" s="21"/>
      <c r="AA70" s="77">
        <v>32</v>
      </c>
      <c r="AB70" s="74" t="s">
        <v>204</v>
      </c>
      <c r="AC70" s="74" t="s">
        <v>205</v>
      </c>
      <c r="AD70" t="s">
        <v>17</v>
      </c>
      <c r="AE70" t="str">
        <f t="shared" si="2"/>
        <v>PB Karunia Group</v>
      </c>
    </row>
    <row r="71" spans="1:31" ht="21" customHeight="1" x14ac:dyDescent="0.35">
      <c r="A71" s="79"/>
      <c r="B71" s="67" t="str">
        <f t="shared" si="1"/>
        <v>PB Karunia Group</v>
      </c>
      <c r="C71" s="65" t="str">
        <f t="shared" si="0"/>
        <v>Rahmat Hidayat (2)</v>
      </c>
      <c r="D71" s="40" t="s">
        <v>9</v>
      </c>
      <c r="E71" s="41">
        <f>E67+1</f>
        <v>16</v>
      </c>
      <c r="F71" s="17" t="s">
        <v>10</v>
      </c>
      <c r="G71" s="21"/>
      <c r="H71" s="21"/>
      <c r="I71" s="21"/>
      <c r="J71" s="21"/>
      <c r="AA71" s="77"/>
      <c r="AB71" s="74" t="s">
        <v>204</v>
      </c>
      <c r="AC71" s="74" t="s">
        <v>206</v>
      </c>
      <c r="AD71" t="s">
        <v>17</v>
      </c>
      <c r="AE71" t="str">
        <f t="shared" si="2"/>
        <v>PB Karunia Group</v>
      </c>
    </row>
    <row r="75" spans="1:31" ht="18.95" customHeight="1" x14ac:dyDescent="0.25">
      <c r="E75" t="e">
        <f>#REF!-#REF!</f>
        <v>#REF!</v>
      </c>
      <c r="I75" t="e">
        <f>#REF!-#REF!</f>
        <v>#REF!</v>
      </c>
      <c r="M75" s="21" t="e">
        <f>#REF!-#REF!</f>
        <v>#REF!</v>
      </c>
      <c r="Q75" s="21" t="e">
        <f>#REF!-#REF!</f>
        <v>#REF!</v>
      </c>
      <c r="U75" t="e">
        <f>#REF!-#REF!</f>
        <v>#REF!</v>
      </c>
    </row>
  </sheetData>
  <mergeCells count="70">
    <mergeCell ref="X6:Z6"/>
    <mergeCell ref="D6:G6"/>
    <mergeCell ref="H6:K6"/>
    <mergeCell ref="L6:O6"/>
    <mergeCell ref="P6:S6"/>
    <mergeCell ref="T6:W6"/>
    <mergeCell ref="A8:A9"/>
    <mergeCell ref="AA8:AA9"/>
    <mergeCell ref="A10:A11"/>
    <mergeCell ref="AA10:AA11"/>
    <mergeCell ref="A12:A13"/>
    <mergeCell ref="AA12:AA13"/>
    <mergeCell ref="A14:A15"/>
    <mergeCell ref="AA14:AA15"/>
    <mergeCell ref="A16:A17"/>
    <mergeCell ref="AA16:AA17"/>
    <mergeCell ref="A18:A19"/>
    <mergeCell ref="AA18:AA19"/>
    <mergeCell ref="A20:A21"/>
    <mergeCell ref="AA20:AA21"/>
    <mergeCell ref="A22:A23"/>
    <mergeCell ref="AA22:AA23"/>
    <mergeCell ref="A24:A25"/>
    <mergeCell ref="AA24:AA25"/>
    <mergeCell ref="A26:A27"/>
    <mergeCell ref="AA26:AA27"/>
    <mergeCell ref="A28:A29"/>
    <mergeCell ref="AA28:AA29"/>
    <mergeCell ref="A30:A31"/>
    <mergeCell ref="AA30:AA31"/>
    <mergeCell ref="A32:A33"/>
    <mergeCell ref="AA32:AA33"/>
    <mergeCell ref="A34:A35"/>
    <mergeCell ref="AA34:AA35"/>
    <mergeCell ref="A36:A37"/>
    <mergeCell ref="AA36:AA37"/>
    <mergeCell ref="A38:A39"/>
    <mergeCell ref="AA38:AA39"/>
    <mergeCell ref="A40:A41"/>
    <mergeCell ref="AA40:AA41"/>
    <mergeCell ref="A42:A43"/>
    <mergeCell ref="AA42:AA43"/>
    <mergeCell ref="A44:A45"/>
    <mergeCell ref="AA44:AA45"/>
    <mergeCell ref="A46:A47"/>
    <mergeCell ref="AA46:AA47"/>
    <mergeCell ref="A48:A49"/>
    <mergeCell ref="AA48:AA49"/>
    <mergeCell ref="A50:A51"/>
    <mergeCell ref="AA50:AA51"/>
    <mergeCell ref="A52:A53"/>
    <mergeCell ref="AA52:AA53"/>
    <mergeCell ref="A54:A55"/>
    <mergeCell ref="AA54:AA55"/>
    <mergeCell ref="A56:A57"/>
    <mergeCell ref="AA56:AA57"/>
    <mergeCell ref="A58:A59"/>
    <mergeCell ref="AA58:AA59"/>
    <mergeCell ref="A60:A61"/>
    <mergeCell ref="AA60:AA61"/>
    <mergeCell ref="A68:A69"/>
    <mergeCell ref="AA68:AA69"/>
    <mergeCell ref="A70:A71"/>
    <mergeCell ref="AA70:AA71"/>
    <mergeCell ref="A62:A63"/>
    <mergeCell ref="AA62:AA63"/>
    <mergeCell ref="A64:A65"/>
    <mergeCell ref="AA64:AA65"/>
    <mergeCell ref="A66:A67"/>
    <mergeCell ref="AA66:AA67"/>
  </mergeCells>
  <pageMargins left="0.12" right="0.21" top="0.33" bottom="0.35" header="0.3" footer="0.3"/>
  <pageSetup paperSize="9" scale="53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75"/>
  <sheetViews>
    <sheetView view="pageBreakPreview" zoomScaleNormal="55" zoomScaleSheetLayoutView="100" workbookViewId="0">
      <selection activeCell="X21" sqref="X21"/>
    </sheetView>
  </sheetViews>
  <sheetFormatPr defaultRowHeight="15" x14ac:dyDescent="0.25"/>
  <cols>
    <col min="1" max="1" width="2.7109375" customWidth="1"/>
    <col min="2" max="2" width="5.85546875" customWidth="1"/>
    <col min="3" max="3" width="42.140625" style="13" customWidth="1"/>
    <col min="4" max="4" width="51.7109375" style="13" customWidth="1"/>
    <col min="5" max="5" width="2.7109375" customWidth="1"/>
    <col min="6" max="6" width="2" customWidth="1"/>
    <col min="7" max="7" width="1.5703125" customWidth="1"/>
    <col min="8" max="8" width="13" customWidth="1"/>
    <col min="9" max="9" width="2" customWidth="1"/>
    <col min="10" max="10" width="3" customWidth="1"/>
    <col min="11" max="11" width="1.5703125" customWidth="1"/>
    <col min="12" max="12" width="7.140625" style="21" customWidth="1"/>
    <col min="13" max="13" width="2" style="21" customWidth="1"/>
    <col min="14" max="14" width="3" style="21" customWidth="1"/>
    <col min="15" max="15" width="1.5703125" style="21" customWidth="1"/>
    <col min="16" max="16" width="8.140625" style="21" customWidth="1"/>
    <col min="17" max="17" width="3.28515625" style="21" bestFit="1" customWidth="1"/>
    <col min="18" max="18" width="4.140625" style="21" customWidth="1"/>
    <col min="19" max="19" width="1.5703125" style="21" hidden="1" customWidth="1"/>
    <col min="20" max="20" width="6.42578125" customWidth="1"/>
    <col min="21" max="21" width="15.7109375" customWidth="1"/>
    <col min="26" max="26" width="5.42578125" customWidth="1"/>
    <col min="27" max="27" width="25.85546875" bestFit="1" customWidth="1"/>
    <col min="28" max="28" width="32.28515625" bestFit="1" customWidth="1"/>
  </cols>
  <sheetData>
    <row r="1" spans="2:34" s="29" customFormat="1" ht="18.75" x14ac:dyDescent="0.3"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</row>
    <row r="2" spans="2:34" ht="28.5" customHeight="1" x14ac:dyDescent="0.25">
      <c r="B2" s="26" t="s">
        <v>18</v>
      </c>
      <c r="C2" s="32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2:34" ht="21" x14ac:dyDescent="0.35">
      <c r="B3" s="28" t="s">
        <v>44</v>
      </c>
      <c r="C3" s="33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spans="2:34" ht="15.75" x14ac:dyDescent="0.25">
      <c r="B4" s="27" t="s">
        <v>13</v>
      </c>
      <c r="C4" s="32"/>
      <c r="D4" s="25"/>
      <c r="E4" s="27" t="s">
        <v>14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spans="2:34" ht="15.75" x14ac:dyDescent="0.25">
      <c r="B5" s="27" t="s">
        <v>20</v>
      </c>
      <c r="C5" s="34"/>
      <c r="D5" s="25"/>
      <c r="E5" s="30" t="s">
        <v>21</v>
      </c>
      <c r="F5" s="29"/>
      <c r="G5" s="29"/>
      <c r="H5" s="29"/>
      <c r="I5" s="29"/>
      <c r="J5" s="29"/>
      <c r="K5" s="29"/>
      <c r="L5" s="48"/>
      <c r="M5" s="48"/>
      <c r="N5" s="48"/>
      <c r="O5" s="48"/>
      <c r="P5" s="48"/>
      <c r="Q5" s="48"/>
      <c r="R5" s="48"/>
      <c r="S5" s="48"/>
      <c r="T5" s="29"/>
      <c r="U5" s="29"/>
      <c r="V5" s="29"/>
      <c r="W5" s="29"/>
      <c r="X5" s="29"/>
      <c r="Y5" s="29"/>
      <c r="Z5" s="29"/>
      <c r="AA5" s="29"/>
      <c r="AB5" s="29"/>
      <c r="AF5" s="11" t="str">
        <f>B5</f>
        <v>24 - 29 Agustus 2026</v>
      </c>
      <c r="AG5" s="12"/>
      <c r="AH5" s="12"/>
    </row>
    <row r="6" spans="2:34" ht="8.1" customHeight="1" thickBot="1" x14ac:dyDescent="0.3">
      <c r="D6" s="25"/>
    </row>
    <row r="7" spans="2:34" ht="16.5" thickTop="1" thickBot="1" x14ac:dyDescent="0.3">
      <c r="B7" s="22" t="s">
        <v>0</v>
      </c>
      <c r="C7" s="14" t="s">
        <v>1</v>
      </c>
      <c r="D7" s="14" t="s">
        <v>2</v>
      </c>
      <c r="E7" s="84" t="s">
        <v>4</v>
      </c>
      <c r="F7" s="84"/>
      <c r="G7" s="84"/>
      <c r="H7" s="84"/>
      <c r="I7" s="84" t="s">
        <v>5</v>
      </c>
      <c r="J7" s="84"/>
      <c r="K7" s="84"/>
      <c r="L7" s="84"/>
      <c r="M7" s="84" t="s">
        <v>6</v>
      </c>
      <c r="N7" s="84"/>
      <c r="O7" s="84"/>
      <c r="P7" s="84"/>
      <c r="Q7" s="22"/>
      <c r="R7" s="22"/>
      <c r="S7" s="43" t="s">
        <v>7</v>
      </c>
      <c r="T7" s="43"/>
      <c r="U7" s="22"/>
      <c r="Z7" t="s">
        <v>8</v>
      </c>
    </row>
    <row r="8" spans="2:34" ht="9.9499999999999993" customHeight="1" thickTop="1" x14ac:dyDescent="0.25">
      <c r="B8" s="10"/>
      <c r="C8" s="15"/>
      <c r="D8" s="15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2:34" s="29" customFormat="1" ht="32.1" customHeight="1" x14ac:dyDescent="0.35">
      <c r="B9" s="76">
        <v>1</v>
      </c>
      <c r="C9" s="61" t="str">
        <f>IFERROR(AA9,0)</f>
        <v>BAYAN</v>
      </c>
      <c r="D9" s="61" t="str">
        <f>IFERROR(AB9,0)</f>
        <v>Anggia Shitta Awanda (1)</v>
      </c>
      <c r="L9" s="48"/>
      <c r="M9" s="48"/>
      <c r="N9" s="48"/>
      <c r="O9" s="48"/>
      <c r="P9" s="48"/>
      <c r="Q9" s="48"/>
      <c r="R9" s="48"/>
      <c r="S9" s="48"/>
      <c r="Z9" s="87">
        <v>1</v>
      </c>
      <c r="AA9" s="52" t="s">
        <v>45</v>
      </c>
      <c r="AB9" s="74" t="s">
        <v>78</v>
      </c>
    </row>
    <row r="10" spans="2:34" s="29" customFormat="1" ht="32.1" customHeight="1" x14ac:dyDescent="0.35">
      <c r="B10" s="76"/>
      <c r="C10" s="61" t="str">
        <f>IFERROR(AA10,0)</f>
        <v>BAYAN</v>
      </c>
      <c r="D10" s="61" t="str">
        <f t="shared" ref="D10:D40" si="0">IFERROR(AB10,0)</f>
        <v>Debby Susanto (1)</v>
      </c>
      <c r="L10" s="48"/>
      <c r="M10" s="48"/>
      <c r="N10" s="48"/>
      <c r="O10" s="48"/>
      <c r="P10" s="48"/>
      <c r="Q10" s="48"/>
      <c r="R10" s="48"/>
      <c r="S10" s="48"/>
      <c r="Z10" s="87"/>
      <c r="AA10" s="52" t="s">
        <v>45</v>
      </c>
      <c r="AB10" s="74" t="s">
        <v>79</v>
      </c>
    </row>
    <row r="11" spans="2:34" s="29" customFormat="1" ht="32.1" customHeight="1" x14ac:dyDescent="0.35">
      <c r="B11" s="78">
        <v>2</v>
      </c>
      <c r="C11" s="62">
        <f t="shared" ref="C11:C40" si="1">IFERROR(AA11,0)</f>
        <v>0</v>
      </c>
      <c r="D11" s="63">
        <f t="shared" si="0"/>
        <v>0</v>
      </c>
      <c r="L11" s="48"/>
      <c r="M11" s="48"/>
      <c r="N11" s="48"/>
      <c r="O11" s="48"/>
      <c r="P11" s="48"/>
      <c r="Q11" s="48"/>
      <c r="R11" s="48"/>
      <c r="S11" s="48"/>
      <c r="Z11" s="87">
        <v>2</v>
      </c>
      <c r="AA11" s="20"/>
      <c r="AB11" s="52"/>
    </row>
    <row r="12" spans="2:34" s="29" customFormat="1" ht="32.1" customHeight="1" x14ac:dyDescent="0.35">
      <c r="B12" s="79"/>
      <c r="C12" s="64">
        <f t="shared" si="1"/>
        <v>0</v>
      </c>
      <c r="D12" s="65" t="str">
        <f t="shared" si="0"/>
        <v>Bye</v>
      </c>
      <c r="E12" s="40" t="s">
        <v>9</v>
      </c>
      <c r="F12" s="41">
        <v>1</v>
      </c>
      <c r="G12" s="41" t="s">
        <v>10</v>
      </c>
      <c r="H12" s="53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Z12" s="87"/>
      <c r="AA12" s="20"/>
      <c r="AB12" s="52" t="s">
        <v>12</v>
      </c>
    </row>
    <row r="13" spans="2:34" s="29" customFormat="1" ht="32.1" customHeight="1" x14ac:dyDescent="0.35">
      <c r="B13" s="76">
        <v>3</v>
      </c>
      <c r="C13" s="62" t="str">
        <f t="shared" si="1"/>
        <v>PB HARFANAS</v>
      </c>
      <c r="D13" s="61" t="str">
        <f t="shared" si="0"/>
        <v>Dewita Wijayasari</v>
      </c>
      <c r="H13" s="54"/>
      <c r="L13" s="48"/>
      <c r="M13" s="48"/>
      <c r="N13" s="48"/>
      <c r="O13" s="48"/>
      <c r="P13" s="48"/>
      <c r="Q13" s="48"/>
      <c r="R13" s="48"/>
      <c r="S13" s="48"/>
      <c r="Z13" s="87">
        <v>3</v>
      </c>
      <c r="AA13" s="52" t="s">
        <v>48</v>
      </c>
      <c r="AB13" s="52" t="s">
        <v>46</v>
      </c>
    </row>
    <row r="14" spans="2:34" s="29" customFormat="1" ht="32.1" customHeight="1" x14ac:dyDescent="0.35">
      <c r="B14" s="76"/>
      <c r="C14" s="64" t="str">
        <f t="shared" si="1"/>
        <v>PB HARFANAS</v>
      </c>
      <c r="D14" s="61" t="str">
        <f t="shared" si="0"/>
        <v>Wianda Mairiane</v>
      </c>
      <c r="H14" s="54"/>
      <c r="I14" s="40" t="s">
        <v>9</v>
      </c>
      <c r="J14" s="41">
        <f>1+F40</f>
        <v>9</v>
      </c>
      <c r="K14" s="41" t="s">
        <v>10</v>
      </c>
      <c r="L14" s="53"/>
      <c r="M14" s="48"/>
      <c r="N14" s="48"/>
      <c r="O14" s="48"/>
      <c r="P14" s="48"/>
      <c r="Q14" s="48"/>
      <c r="R14" s="48"/>
      <c r="S14" s="48"/>
      <c r="Z14" s="87"/>
      <c r="AA14" s="52" t="s">
        <v>48</v>
      </c>
      <c r="AB14" s="74" t="s">
        <v>47</v>
      </c>
    </row>
    <row r="15" spans="2:34" s="29" customFormat="1" ht="32.1" customHeight="1" x14ac:dyDescent="0.35">
      <c r="B15" s="78">
        <v>4</v>
      </c>
      <c r="C15" s="62" t="str">
        <f t="shared" si="1"/>
        <v>Lammoro Makassar</v>
      </c>
      <c r="D15" s="63" t="str">
        <f t="shared" si="0"/>
        <v>Nur Zalsa Nabila</v>
      </c>
      <c r="E15" s="42"/>
      <c r="F15" s="42"/>
      <c r="G15" s="42"/>
      <c r="H15" s="55"/>
      <c r="L15" s="56"/>
      <c r="M15" s="48"/>
      <c r="N15" s="48"/>
      <c r="O15" s="48"/>
      <c r="P15" s="48"/>
      <c r="Q15" s="48"/>
      <c r="R15" s="48"/>
      <c r="S15" s="48"/>
      <c r="Z15" s="87">
        <v>4</v>
      </c>
      <c r="AA15" s="74" t="s">
        <v>51</v>
      </c>
      <c r="AB15" s="74" t="s">
        <v>49</v>
      </c>
    </row>
    <row r="16" spans="2:34" s="29" customFormat="1" ht="32.1" customHeight="1" x14ac:dyDescent="0.35">
      <c r="B16" s="79"/>
      <c r="C16" s="64" t="str">
        <f t="shared" si="1"/>
        <v>Lammoro Makassar</v>
      </c>
      <c r="D16" s="65" t="str">
        <f t="shared" si="0"/>
        <v>Almunawarah</v>
      </c>
      <c r="E16" s="40" t="s">
        <v>9</v>
      </c>
      <c r="F16" s="41">
        <f>F12+1</f>
        <v>2</v>
      </c>
      <c r="G16" s="41" t="s">
        <v>10</v>
      </c>
      <c r="H16" s="48"/>
      <c r="I16" s="48"/>
      <c r="J16" s="48"/>
      <c r="K16" s="48"/>
      <c r="L16" s="56"/>
      <c r="M16" s="48"/>
      <c r="N16" s="48"/>
      <c r="O16" s="48"/>
      <c r="P16" s="48"/>
      <c r="Q16" s="48"/>
      <c r="R16" s="48"/>
      <c r="S16" s="48"/>
      <c r="Z16" s="87"/>
      <c r="AA16" s="74" t="s">
        <v>51</v>
      </c>
      <c r="AB16" s="74" t="s">
        <v>50</v>
      </c>
    </row>
    <row r="17" spans="2:28" s="29" customFormat="1" ht="32.1" customHeight="1" x14ac:dyDescent="0.35">
      <c r="B17" s="76">
        <v>5</v>
      </c>
      <c r="C17" s="62" t="str">
        <f t="shared" si="1"/>
        <v>PB HEVINDO BALIKPAPAN</v>
      </c>
      <c r="D17" s="61" t="str">
        <f t="shared" si="0"/>
        <v>Priskila Venus Elsadai</v>
      </c>
      <c r="L17" s="56"/>
      <c r="M17" s="48"/>
      <c r="N17" s="48"/>
      <c r="O17" s="48"/>
      <c r="P17" s="48"/>
      <c r="Q17" s="48"/>
      <c r="R17" s="48"/>
      <c r="S17" s="48"/>
      <c r="Z17" s="87">
        <v>5</v>
      </c>
      <c r="AA17" s="74" t="s">
        <v>54</v>
      </c>
      <c r="AB17" s="74" t="s">
        <v>52</v>
      </c>
    </row>
    <row r="18" spans="2:28" s="29" customFormat="1" ht="32.1" customHeight="1" x14ac:dyDescent="0.35">
      <c r="B18" s="76"/>
      <c r="C18" s="64" t="str">
        <f t="shared" si="1"/>
        <v>PB HEVINDO BALIKPAPAN</v>
      </c>
      <c r="D18" s="61" t="str">
        <f t="shared" si="0"/>
        <v>Valentine Dionny Mesdila</v>
      </c>
      <c r="L18" s="56"/>
      <c r="M18" s="57" t="s">
        <v>9</v>
      </c>
      <c r="N18" s="49">
        <f>1+J38</f>
        <v>13</v>
      </c>
      <c r="O18" s="49" t="s">
        <v>10</v>
      </c>
      <c r="P18" s="53"/>
      <c r="Q18" s="48"/>
      <c r="R18" s="48"/>
      <c r="S18" s="48"/>
      <c r="Z18" s="87"/>
      <c r="AA18" s="74" t="s">
        <v>54</v>
      </c>
      <c r="AB18" s="74" t="s">
        <v>53</v>
      </c>
    </row>
    <row r="19" spans="2:28" s="29" customFormat="1" ht="32.1" customHeight="1" x14ac:dyDescent="0.35">
      <c r="B19" s="78">
        <v>6</v>
      </c>
      <c r="C19" s="62">
        <f t="shared" si="1"/>
        <v>0</v>
      </c>
      <c r="D19" s="63">
        <f t="shared" si="0"/>
        <v>0</v>
      </c>
      <c r="H19" s="48"/>
      <c r="I19" s="48"/>
      <c r="J19" s="48"/>
      <c r="K19" s="48"/>
      <c r="L19" s="56"/>
      <c r="M19" s="48"/>
      <c r="N19" s="48"/>
      <c r="O19" s="48"/>
      <c r="P19" s="56"/>
      <c r="Q19" s="48"/>
      <c r="R19" s="48"/>
      <c r="S19" s="48"/>
      <c r="Z19" s="87">
        <v>6</v>
      </c>
      <c r="AA19" s="20"/>
      <c r="AB19" s="52"/>
    </row>
    <row r="20" spans="2:28" s="29" customFormat="1" ht="32.1" customHeight="1" x14ac:dyDescent="0.35">
      <c r="B20" s="79"/>
      <c r="C20" s="64">
        <f t="shared" si="1"/>
        <v>0</v>
      </c>
      <c r="D20" s="65" t="str">
        <f t="shared" si="0"/>
        <v>Bye</v>
      </c>
      <c r="E20" s="40" t="s">
        <v>9</v>
      </c>
      <c r="F20" s="41">
        <f>F16+1</f>
        <v>3</v>
      </c>
      <c r="G20" s="41" t="s">
        <v>10</v>
      </c>
      <c r="H20" s="53"/>
      <c r="I20" s="48"/>
      <c r="J20" s="48"/>
      <c r="K20" s="48"/>
      <c r="L20" s="56"/>
      <c r="M20" s="48"/>
      <c r="N20" s="48"/>
      <c r="O20" s="48"/>
      <c r="P20" s="56"/>
      <c r="Q20" s="48"/>
      <c r="R20" s="48"/>
      <c r="S20" s="48"/>
      <c r="Z20" s="87"/>
      <c r="AA20" s="20"/>
      <c r="AB20" s="52" t="s">
        <v>12</v>
      </c>
    </row>
    <row r="21" spans="2:28" s="29" customFormat="1" ht="32.1" customHeight="1" x14ac:dyDescent="0.35">
      <c r="B21" s="76">
        <v>7</v>
      </c>
      <c r="C21" s="62" t="str">
        <f t="shared" si="1"/>
        <v>PB MULIA BARU SANGATTA</v>
      </c>
      <c r="D21" s="61" t="str">
        <f t="shared" si="0"/>
        <v>Sheila Dinda Kurniawan</v>
      </c>
      <c r="H21" s="56"/>
      <c r="I21" s="50"/>
      <c r="J21" s="50"/>
      <c r="K21" s="50"/>
      <c r="L21" s="58"/>
      <c r="M21" s="48"/>
      <c r="N21" s="48"/>
      <c r="O21" s="48"/>
      <c r="P21" s="56"/>
      <c r="Q21" s="48"/>
      <c r="R21" s="48"/>
      <c r="S21" s="48"/>
      <c r="Z21" s="87">
        <v>7</v>
      </c>
      <c r="AA21" s="74" t="s">
        <v>57</v>
      </c>
      <c r="AB21" s="74" t="s">
        <v>55</v>
      </c>
    </row>
    <row r="22" spans="2:28" s="29" customFormat="1" ht="32.1" customHeight="1" x14ac:dyDescent="0.35">
      <c r="B22" s="76"/>
      <c r="C22" s="64" t="str">
        <f t="shared" si="1"/>
        <v>PB MULIA BARU SANGATTA</v>
      </c>
      <c r="D22" s="61" t="str">
        <f t="shared" si="0"/>
        <v>Medina Nazwa Yuniar</v>
      </c>
      <c r="H22" s="56"/>
      <c r="I22" s="40" t="s">
        <v>9</v>
      </c>
      <c r="J22" s="41">
        <f>1+J14</f>
        <v>10</v>
      </c>
      <c r="K22" s="41" t="s">
        <v>10</v>
      </c>
      <c r="L22" s="48"/>
      <c r="M22" s="48"/>
      <c r="N22" s="48"/>
      <c r="O22" s="48"/>
      <c r="P22" s="56"/>
      <c r="Q22" s="48"/>
      <c r="R22" s="48"/>
      <c r="S22" s="48"/>
      <c r="Z22" s="87"/>
      <c r="AA22" s="74" t="s">
        <v>57</v>
      </c>
      <c r="AB22" s="74" t="s">
        <v>56</v>
      </c>
    </row>
    <row r="23" spans="2:28" s="29" customFormat="1" ht="32.1" customHeight="1" x14ac:dyDescent="0.35">
      <c r="B23" s="78">
        <v>8</v>
      </c>
      <c r="C23" s="62" t="str">
        <f t="shared" si="1"/>
        <v>PB Karunia Primatama Group</v>
      </c>
      <c r="D23" s="63" t="str">
        <f t="shared" si="0"/>
        <v>Steviolin Marcella</v>
      </c>
      <c r="E23" s="42"/>
      <c r="F23" s="42"/>
      <c r="G23" s="42"/>
      <c r="H23" s="58"/>
      <c r="I23" s="48"/>
      <c r="J23" s="48"/>
      <c r="K23" s="48"/>
      <c r="L23" s="48"/>
      <c r="M23" s="48"/>
      <c r="N23" s="48"/>
      <c r="O23" s="48"/>
      <c r="P23" s="56"/>
      <c r="Q23" s="48"/>
      <c r="R23" s="48"/>
      <c r="S23" s="48"/>
      <c r="Z23" s="87">
        <v>8</v>
      </c>
      <c r="AA23" s="74" t="s">
        <v>60</v>
      </c>
      <c r="AB23" s="74" t="s">
        <v>58</v>
      </c>
    </row>
    <row r="24" spans="2:28" s="29" customFormat="1" ht="32.1" customHeight="1" x14ac:dyDescent="0.35">
      <c r="B24" s="79"/>
      <c r="C24" s="64" t="str">
        <f t="shared" si="1"/>
        <v>PB Karunia Primatama Group</v>
      </c>
      <c r="D24" s="65" t="str">
        <f t="shared" si="0"/>
        <v>Sarah Daisy Theresia Christina</v>
      </c>
      <c r="E24" s="40" t="s">
        <v>9</v>
      </c>
      <c r="F24" s="41">
        <f>F20+1</f>
        <v>4</v>
      </c>
      <c r="G24" s="41" t="s">
        <v>10</v>
      </c>
      <c r="H24" s="48"/>
      <c r="I24" s="48"/>
      <c r="J24" s="48"/>
      <c r="K24" s="48"/>
      <c r="L24" s="48"/>
      <c r="M24" s="48"/>
      <c r="N24" s="48"/>
      <c r="O24" s="48"/>
      <c r="P24" s="56"/>
      <c r="Q24" s="48"/>
      <c r="R24" s="48"/>
      <c r="S24" s="48"/>
      <c r="Z24" s="87"/>
      <c r="AA24" s="74" t="s">
        <v>60</v>
      </c>
      <c r="AB24" s="74" t="s">
        <v>59</v>
      </c>
    </row>
    <row r="25" spans="2:28" s="29" customFormat="1" ht="32.1" customHeight="1" x14ac:dyDescent="0.35">
      <c r="B25" s="76">
        <v>9</v>
      </c>
      <c r="C25" s="62" t="str">
        <f t="shared" si="1"/>
        <v>PB HARFANAS</v>
      </c>
      <c r="D25" s="61" t="str">
        <f t="shared" si="0"/>
        <v>Victoria Grace Pongantung</v>
      </c>
      <c r="H25" s="48"/>
      <c r="I25" s="48"/>
      <c r="J25" s="48"/>
      <c r="K25" s="48"/>
      <c r="L25" s="48"/>
      <c r="M25" s="48"/>
      <c r="N25" s="48"/>
      <c r="O25" s="48"/>
      <c r="P25" s="56"/>
      <c r="Q25" s="59"/>
      <c r="R25" s="50"/>
      <c r="S25" s="50"/>
      <c r="T25" s="42"/>
      <c r="Z25" s="87">
        <v>9</v>
      </c>
      <c r="AA25" s="74" t="s">
        <v>48</v>
      </c>
      <c r="AB25" s="74" t="s">
        <v>61</v>
      </c>
    </row>
    <row r="26" spans="2:28" s="29" customFormat="1" ht="32.1" customHeight="1" x14ac:dyDescent="0.35">
      <c r="B26" s="76"/>
      <c r="C26" s="64" t="str">
        <f t="shared" si="1"/>
        <v>PB HARFANAS</v>
      </c>
      <c r="D26" s="61" t="str">
        <f t="shared" si="0"/>
        <v>Zaranada Afifah Yumna</v>
      </c>
      <c r="H26" s="48"/>
      <c r="I26" s="48"/>
      <c r="J26" s="48"/>
      <c r="K26" s="48"/>
      <c r="L26" s="48"/>
      <c r="M26" s="48"/>
      <c r="N26" s="48"/>
      <c r="O26" s="48"/>
      <c r="P26" s="56"/>
      <c r="Q26" s="57" t="s">
        <v>9</v>
      </c>
      <c r="R26" s="49">
        <v>15</v>
      </c>
      <c r="S26" s="49" t="s">
        <v>10</v>
      </c>
      <c r="T26" s="60"/>
      <c r="Z26" s="87"/>
      <c r="AA26" s="74" t="s">
        <v>48</v>
      </c>
      <c r="AB26" s="74" t="s">
        <v>62</v>
      </c>
    </row>
    <row r="27" spans="2:28" s="29" customFormat="1" ht="32.1" customHeight="1" x14ac:dyDescent="0.35">
      <c r="B27" s="78">
        <v>10</v>
      </c>
      <c r="C27" s="62" t="str">
        <f t="shared" si="1"/>
        <v>Pertamina MOR 6</v>
      </c>
      <c r="D27" s="63" t="str">
        <f t="shared" si="0"/>
        <v>Nazhiva Rasya Atmawijaya</v>
      </c>
      <c r="H27" s="48"/>
      <c r="I27" s="48"/>
      <c r="J27" s="48"/>
      <c r="K27" s="48"/>
      <c r="L27" s="48"/>
      <c r="M27" s="48"/>
      <c r="N27" s="48"/>
      <c r="O27" s="48"/>
      <c r="P27" s="56"/>
      <c r="Q27" s="48"/>
      <c r="R27" s="48"/>
      <c r="S27" s="48"/>
      <c r="Z27" s="87">
        <v>10</v>
      </c>
      <c r="AA27" s="74" t="s">
        <v>65</v>
      </c>
      <c r="AB27" s="74" t="s">
        <v>63</v>
      </c>
    </row>
    <row r="28" spans="2:28" s="29" customFormat="1" ht="32.1" customHeight="1" x14ac:dyDescent="0.35">
      <c r="B28" s="79"/>
      <c r="C28" s="64" t="str">
        <f t="shared" si="1"/>
        <v>Pertamina MOR 6</v>
      </c>
      <c r="D28" s="65" t="str">
        <f t="shared" si="0"/>
        <v>Karina Ria Hardianti</v>
      </c>
      <c r="E28" s="40" t="s">
        <v>9</v>
      </c>
      <c r="F28" s="41">
        <f>F24+1</f>
        <v>5</v>
      </c>
      <c r="G28" s="41" t="s">
        <v>10</v>
      </c>
      <c r="H28" s="53"/>
      <c r="I28" s="48"/>
      <c r="J28" s="48"/>
      <c r="K28" s="48"/>
      <c r="L28" s="48"/>
      <c r="M28" s="48"/>
      <c r="N28" s="48"/>
      <c r="O28" s="48"/>
      <c r="P28" s="56"/>
      <c r="Q28" s="48"/>
      <c r="R28" s="48"/>
      <c r="S28" s="48"/>
      <c r="Z28" s="87"/>
      <c r="AA28" s="74" t="s">
        <v>65</v>
      </c>
      <c r="AB28" s="74" t="s">
        <v>64</v>
      </c>
    </row>
    <row r="29" spans="2:28" s="29" customFormat="1" ht="32.1" customHeight="1" x14ac:dyDescent="0.35">
      <c r="B29" s="76">
        <v>11</v>
      </c>
      <c r="C29" s="62" t="str">
        <f t="shared" si="1"/>
        <v>PENGAIRAN KALTIM</v>
      </c>
      <c r="D29" s="61" t="str">
        <f t="shared" si="0"/>
        <v>Nella Puspita Dewi</v>
      </c>
      <c r="H29" s="56"/>
      <c r="I29" s="48"/>
      <c r="J29" s="48"/>
      <c r="K29" s="48"/>
      <c r="L29" s="48"/>
      <c r="M29" s="48"/>
      <c r="N29" s="48"/>
      <c r="O29" s="48"/>
      <c r="P29" s="56"/>
      <c r="Q29" s="48"/>
      <c r="R29" s="48"/>
      <c r="S29" s="48"/>
      <c r="Z29" s="87">
        <v>11</v>
      </c>
      <c r="AA29" s="74" t="s">
        <v>68</v>
      </c>
      <c r="AB29" s="74" t="s">
        <v>66</v>
      </c>
    </row>
    <row r="30" spans="2:28" s="29" customFormat="1" ht="32.1" customHeight="1" x14ac:dyDescent="0.35">
      <c r="B30" s="76"/>
      <c r="C30" s="64" t="str">
        <f t="shared" si="1"/>
        <v>PENGAIRAN KALTIM</v>
      </c>
      <c r="D30" s="61" t="str">
        <f t="shared" si="0"/>
        <v>Arisma Nur Rahmadani</v>
      </c>
      <c r="H30" s="56"/>
      <c r="I30" s="60" t="s">
        <v>9</v>
      </c>
      <c r="J30" s="60">
        <f>1+J22</f>
        <v>11</v>
      </c>
      <c r="K30" s="60" t="s">
        <v>10</v>
      </c>
      <c r="L30" s="53"/>
      <c r="M30" s="48"/>
      <c r="N30" s="48"/>
      <c r="O30" s="48"/>
      <c r="P30" s="56"/>
      <c r="Q30" s="48"/>
      <c r="R30" s="48"/>
      <c r="S30" s="48"/>
      <c r="Z30" s="87"/>
      <c r="AA30" s="74" t="s">
        <v>68</v>
      </c>
      <c r="AB30" s="74" t="s">
        <v>67</v>
      </c>
    </row>
    <row r="31" spans="2:28" s="29" customFormat="1" ht="32.1" customHeight="1" x14ac:dyDescent="0.35">
      <c r="B31" s="78">
        <v>12</v>
      </c>
      <c r="C31" s="62" t="str">
        <f t="shared" si="1"/>
        <v>MAXPLAY BC</v>
      </c>
      <c r="D31" s="63" t="str">
        <f t="shared" si="0"/>
        <v>Sumarni</v>
      </c>
      <c r="E31" s="42"/>
      <c r="F31" s="42"/>
      <c r="G31" s="42"/>
      <c r="H31" s="58"/>
      <c r="L31" s="56"/>
      <c r="M31" s="48"/>
      <c r="N31" s="48"/>
      <c r="O31" s="48"/>
      <c r="P31" s="56"/>
      <c r="Q31" s="48"/>
      <c r="R31" s="48"/>
      <c r="S31" s="48"/>
      <c r="Z31" s="87">
        <v>12</v>
      </c>
      <c r="AA31" s="74" t="s">
        <v>71</v>
      </c>
      <c r="AB31" s="74" t="s">
        <v>69</v>
      </c>
    </row>
    <row r="32" spans="2:28" s="29" customFormat="1" ht="32.1" customHeight="1" x14ac:dyDescent="0.35">
      <c r="B32" s="79"/>
      <c r="C32" s="64" t="str">
        <f t="shared" si="1"/>
        <v>MAXPLAY BC</v>
      </c>
      <c r="D32" s="65" t="str">
        <f t="shared" si="0"/>
        <v>Jamilah Wardah</v>
      </c>
      <c r="E32" s="40" t="s">
        <v>9</v>
      </c>
      <c r="F32" s="41">
        <f>F28+1</f>
        <v>6</v>
      </c>
      <c r="G32" s="41" t="s">
        <v>10</v>
      </c>
      <c r="H32" s="48"/>
      <c r="I32" s="48"/>
      <c r="J32" s="48"/>
      <c r="K32" s="48"/>
      <c r="L32" s="56"/>
      <c r="M32" s="48"/>
      <c r="N32" s="48"/>
      <c r="O32" s="48"/>
      <c r="P32" s="56"/>
      <c r="Q32" s="48"/>
      <c r="R32" s="48"/>
      <c r="S32" s="48"/>
      <c r="Z32" s="87"/>
      <c r="AA32" s="74" t="s">
        <v>71</v>
      </c>
      <c r="AB32" s="74" t="s">
        <v>70</v>
      </c>
    </row>
    <row r="33" spans="2:28" s="29" customFormat="1" ht="32.1" customHeight="1" x14ac:dyDescent="0.35">
      <c r="B33" s="76">
        <v>13</v>
      </c>
      <c r="C33" s="62" t="str">
        <f t="shared" si="1"/>
        <v>PB HEVINDO BALIKPAPAN</v>
      </c>
      <c r="D33" s="61" t="str">
        <f t="shared" si="0"/>
        <v>Novianny Thalia Angel Wowor</v>
      </c>
      <c r="H33" s="48"/>
      <c r="L33" s="56"/>
      <c r="M33" s="50"/>
      <c r="N33" s="50"/>
      <c r="O33" s="50"/>
      <c r="P33" s="58"/>
      <c r="Q33" s="48"/>
      <c r="R33" s="48"/>
      <c r="S33" s="48"/>
      <c r="Z33" s="87">
        <v>13</v>
      </c>
      <c r="AA33" s="74" t="s">
        <v>54</v>
      </c>
      <c r="AB33" s="74" t="s">
        <v>72</v>
      </c>
    </row>
    <row r="34" spans="2:28" s="29" customFormat="1" ht="32.1" customHeight="1" x14ac:dyDescent="0.35">
      <c r="B34" s="76"/>
      <c r="C34" s="64" t="str">
        <f t="shared" si="1"/>
        <v>PB HEVINDO BALIKPAPAN</v>
      </c>
      <c r="D34" s="61" t="str">
        <f t="shared" si="0"/>
        <v>Rabelvrili Cantika Asmara</v>
      </c>
      <c r="H34" s="48"/>
      <c r="L34" s="56"/>
      <c r="M34" s="57" t="s">
        <v>9</v>
      </c>
      <c r="N34" s="49">
        <f>1+N18</f>
        <v>14</v>
      </c>
      <c r="O34" s="49" t="s">
        <v>10</v>
      </c>
      <c r="P34" s="48"/>
      <c r="Q34" s="48"/>
      <c r="R34" s="48"/>
      <c r="S34" s="48"/>
      <c r="Z34" s="87"/>
      <c r="AA34" s="74" t="s">
        <v>54</v>
      </c>
      <c r="AB34" s="74" t="s">
        <v>73</v>
      </c>
    </row>
    <row r="35" spans="2:28" s="29" customFormat="1" ht="32.1" customHeight="1" x14ac:dyDescent="0.35">
      <c r="B35" s="78">
        <v>14</v>
      </c>
      <c r="C35" s="62" t="str">
        <f t="shared" si="1"/>
        <v>PB FAREZ</v>
      </c>
      <c r="D35" s="63" t="str">
        <f t="shared" si="0"/>
        <v>Zahratul Syita</v>
      </c>
      <c r="H35" s="48"/>
      <c r="I35" s="48"/>
      <c r="J35" s="48"/>
      <c r="K35" s="48"/>
      <c r="L35" s="56"/>
      <c r="M35" s="48"/>
      <c r="N35" s="48"/>
      <c r="O35" s="48"/>
      <c r="P35" s="48"/>
      <c r="Q35" s="48"/>
      <c r="R35" s="48"/>
      <c r="S35" s="48"/>
      <c r="Z35" s="87">
        <v>14</v>
      </c>
      <c r="AA35" s="74" t="s">
        <v>76</v>
      </c>
      <c r="AB35" s="74" t="s">
        <v>74</v>
      </c>
    </row>
    <row r="36" spans="2:28" s="29" customFormat="1" ht="32.1" customHeight="1" x14ac:dyDescent="0.35">
      <c r="B36" s="79"/>
      <c r="C36" s="64" t="str">
        <f t="shared" si="1"/>
        <v>PB FAREZ</v>
      </c>
      <c r="D36" s="65" t="str">
        <f t="shared" si="0"/>
        <v>Ryani Puspita Dewi</v>
      </c>
      <c r="E36" s="40" t="s">
        <v>9</v>
      </c>
      <c r="F36" s="41">
        <f>F32+1</f>
        <v>7</v>
      </c>
      <c r="G36" s="41" t="s">
        <v>10</v>
      </c>
      <c r="H36" s="53"/>
      <c r="I36" s="48"/>
      <c r="J36" s="48"/>
      <c r="K36" s="48"/>
      <c r="L36" s="56"/>
      <c r="M36" s="48"/>
      <c r="N36" s="48"/>
      <c r="O36" s="48"/>
      <c r="P36" s="48"/>
      <c r="Q36" s="48"/>
      <c r="R36" s="48"/>
      <c r="S36" s="48"/>
      <c r="Z36" s="87"/>
      <c r="AA36" s="74" t="s">
        <v>76</v>
      </c>
      <c r="AB36" s="74" t="s">
        <v>75</v>
      </c>
    </row>
    <row r="37" spans="2:28" s="29" customFormat="1" ht="32.1" customHeight="1" x14ac:dyDescent="0.35">
      <c r="B37" s="76">
        <v>15</v>
      </c>
      <c r="C37" s="62">
        <f t="shared" si="1"/>
        <v>0</v>
      </c>
      <c r="D37" s="61">
        <f t="shared" si="0"/>
        <v>0</v>
      </c>
      <c r="H37" s="56"/>
      <c r="I37" s="50"/>
      <c r="J37" s="50"/>
      <c r="K37" s="50"/>
      <c r="L37" s="58"/>
      <c r="M37" s="48"/>
      <c r="N37" s="48"/>
      <c r="O37" s="48"/>
      <c r="P37" s="48"/>
      <c r="Q37" s="48"/>
      <c r="R37" s="48"/>
      <c r="S37" s="48"/>
      <c r="Z37" s="87">
        <v>15</v>
      </c>
      <c r="AA37" s="20"/>
      <c r="AB37" s="52"/>
    </row>
    <row r="38" spans="2:28" s="29" customFormat="1" ht="32.1" customHeight="1" x14ac:dyDescent="0.35">
      <c r="B38" s="76"/>
      <c r="C38" s="64">
        <f t="shared" si="1"/>
        <v>0</v>
      </c>
      <c r="D38" s="61" t="str">
        <f t="shared" si="0"/>
        <v>Bye</v>
      </c>
      <c r="H38" s="56"/>
      <c r="I38" s="48" t="s">
        <v>9</v>
      </c>
      <c r="J38" s="48">
        <f>1+J30</f>
        <v>12</v>
      </c>
      <c r="K38" s="48" t="s">
        <v>10</v>
      </c>
      <c r="L38" s="48"/>
      <c r="M38" s="48"/>
      <c r="N38" s="48"/>
      <c r="O38" s="48"/>
      <c r="P38" s="48"/>
      <c r="Q38" s="48"/>
      <c r="R38" s="48"/>
      <c r="S38" s="48"/>
      <c r="Z38" s="87"/>
      <c r="AA38" s="20"/>
      <c r="AB38" s="52" t="s">
        <v>12</v>
      </c>
    </row>
    <row r="39" spans="2:28" s="29" customFormat="1" ht="32.1" customHeight="1" x14ac:dyDescent="0.35">
      <c r="B39" s="78">
        <v>16</v>
      </c>
      <c r="C39" s="62" t="str">
        <f t="shared" si="1"/>
        <v>JENNA GOZALI BADMINTON CLUB</v>
      </c>
      <c r="D39" s="63" t="str">
        <f t="shared" si="0"/>
        <v>Gabriela Meilani Moningka (2)</v>
      </c>
      <c r="E39" s="42"/>
      <c r="F39" s="42"/>
      <c r="G39" s="42"/>
      <c r="H39" s="5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Z39" s="87">
        <v>16</v>
      </c>
      <c r="AA39" s="74" t="s">
        <v>77</v>
      </c>
      <c r="AB39" s="74" t="s">
        <v>80</v>
      </c>
    </row>
    <row r="40" spans="2:28" s="29" customFormat="1" ht="32.1" customHeight="1" x14ac:dyDescent="0.35">
      <c r="B40" s="79"/>
      <c r="C40" s="64" t="str">
        <f t="shared" si="1"/>
        <v>JENNA GOZALI BADMINTON CLUB</v>
      </c>
      <c r="D40" s="65" t="str">
        <f t="shared" si="0"/>
        <v>Jenna Gozali (2)</v>
      </c>
      <c r="E40" s="40" t="s">
        <v>9</v>
      </c>
      <c r="F40" s="41">
        <f>F36+1</f>
        <v>8</v>
      </c>
      <c r="G40" s="41" t="s">
        <v>10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Z40" s="87"/>
      <c r="AA40" s="74" t="s">
        <v>77</v>
      </c>
      <c r="AB40" s="74" t="s">
        <v>81</v>
      </c>
    </row>
    <row r="41" spans="2:28" s="29" customFormat="1" x14ac:dyDescent="0.25">
      <c r="B41" s="86"/>
      <c r="C41" s="39"/>
      <c r="D41" s="39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Z41" s="86"/>
    </row>
    <row r="42" spans="2:28" s="29" customFormat="1" x14ac:dyDescent="0.25">
      <c r="B42" s="86"/>
      <c r="C42" s="39"/>
      <c r="D42" s="39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Z42" s="86"/>
    </row>
    <row r="43" spans="2:28" s="29" customFormat="1" x14ac:dyDescent="0.25">
      <c r="B43" s="86"/>
      <c r="C43" s="39"/>
      <c r="D43" s="39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Z43" s="86"/>
    </row>
    <row r="44" spans="2:28" s="29" customFormat="1" x14ac:dyDescent="0.25">
      <c r="B44" s="86"/>
      <c r="C44" s="39"/>
      <c r="D44" s="39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Z44" s="86"/>
    </row>
    <row r="45" spans="2:28" s="29" customFormat="1" x14ac:dyDescent="0.25">
      <c r="B45" s="86"/>
      <c r="C45" s="39"/>
      <c r="D45" s="39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Z45" s="86"/>
    </row>
    <row r="46" spans="2:28" s="29" customFormat="1" x14ac:dyDescent="0.25">
      <c r="B46" s="86"/>
      <c r="C46" s="39"/>
      <c r="D46" s="39"/>
      <c r="H46" s="48"/>
      <c r="L46" s="48"/>
      <c r="M46" s="48"/>
      <c r="N46" s="48"/>
      <c r="O46" s="48"/>
      <c r="P46" s="48"/>
      <c r="Q46" s="48"/>
      <c r="R46" s="48"/>
      <c r="S46" s="48"/>
      <c r="Z46" s="86"/>
    </row>
    <row r="47" spans="2:28" s="29" customFormat="1" x14ac:dyDescent="0.25">
      <c r="B47" s="86"/>
      <c r="C47" s="39"/>
      <c r="D47" s="39"/>
      <c r="H47" s="48"/>
      <c r="L47" s="48"/>
      <c r="M47" s="48"/>
      <c r="N47" s="48"/>
      <c r="O47" s="48"/>
      <c r="P47" s="48"/>
      <c r="Q47" s="48"/>
      <c r="R47" s="48"/>
      <c r="S47" s="48"/>
      <c r="Z47" s="86"/>
    </row>
    <row r="48" spans="2:28" s="29" customFormat="1" x14ac:dyDescent="0.25">
      <c r="B48" s="86"/>
      <c r="C48" s="39"/>
      <c r="D48" s="51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Z48" s="86"/>
      <c r="AB48" s="44"/>
    </row>
    <row r="49" spans="2:28" s="29" customFormat="1" x14ac:dyDescent="0.25">
      <c r="B49" s="86"/>
      <c r="C49" s="39"/>
      <c r="D49" s="39"/>
      <c r="H49" s="48"/>
      <c r="L49" s="48"/>
      <c r="M49" s="48"/>
      <c r="N49" s="48"/>
      <c r="O49" s="48"/>
      <c r="P49" s="48"/>
      <c r="Q49" s="48"/>
      <c r="R49" s="48"/>
      <c r="S49" s="48"/>
      <c r="Z49" s="86"/>
    </row>
    <row r="50" spans="2:28" s="29" customFormat="1" x14ac:dyDescent="0.25">
      <c r="B50" s="86"/>
      <c r="C50" s="39"/>
      <c r="D50" s="39"/>
      <c r="H50" s="48"/>
      <c r="L50" s="48"/>
      <c r="M50" s="48"/>
      <c r="N50" s="48"/>
      <c r="O50" s="48"/>
      <c r="P50" s="48"/>
      <c r="Q50" s="48"/>
      <c r="R50" s="48"/>
      <c r="S50" s="48"/>
      <c r="Z50" s="86"/>
    </row>
    <row r="51" spans="2:28" s="29" customFormat="1" x14ac:dyDescent="0.25">
      <c r="B51" s="86"/>
      <c r="C51" s="39"/>
      <c r="D51" s="39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Z51" s="86"/>
    </row>
    <row r="52" spans="2:28" s="29" customFormat="1" x14ac:dyDescent="0.25">
      <c r="B52" s="86"/>
      <c r="C52" s="39"/>
      <c r="D52" s="39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Z52" s="86"/>
    </row>
    <row r="53" spans="2:28" x14ac:dyDescent="0.25">
      <c r="B53" s="85"/>
      <c r="H53" s="21"/>
      <c r="I53" s="21"/>
      <c r="J53" s="21"/>
      <c r="K53" s="21"/>
      <c r="Z53" s="86"/>
      <c r="AA53" s="29"/>
      <c r="AB53" s="29"/>
    </row>
    <row r="54" spans="2:28" x14ac:dyDescent="0.25">
      <c r="B54" s="85"/>
      <c r="H54" s="21"/>
      <c r="I54" s="21"/>
      <c r="J54" s="21"/>
      <c r="K54" s="21"/>
      <c r="Z54" s="86"/>
      <c r="AA54" s="29"/>
      <c r="AB54" s="29"/>
    </row>
    <row r="55" spans="2:28" x14ac:dyDescent="0.25">
      <c r="B55" s="85"/>
      <c r="H55" s="21"/>
      <c r="I55" s="21"/>
      <c r="J55" s="21"/>
      <c r="K55" s="21"/>
      <c r="Z55" s="86"/>
      <c r="AA55" s="29"/>
      <c r="AB55" s="29"/>
    </row>
    <row r="56" spans="2:28" x14ac:dyDescent="0.25">
      <c r="B56" s="85"/>
      <c r="D56" s="31"/>
      <c r="H56" s="21"/>
      <c r="I56" s="21"/>
      <c r="J56" s="21"/>
      <c r="K56" s="21"/>
      <c r="Z56" s="86"/>
      <c r="AA56" s="29"/>
      <c r="AB56" s="44"/>
    </row>
    <row r="57" spans="2:28" x14ac:dyDescent="0.25">
      <c r="B57" s="85"/>
      <c r="H57" s="21"/>
      <c r="I57" s="21"/>
      <c r="J57" s="21"/>
      <c r="K57" s="21"/>
      <c r="Z57" s="86"/>
      <c r="AA57" s="29"/>
      <c r="AB57" s="29"/>
    </row>
    <row r="58" spans="2:28" x14ac:dyDescent="0.25">
      <c r="B58" s="85"/>
      <c r="H58" s="21"/>
      <c r="I58" s="21"/>
      <c r="J58" s="21"/>
      <c r="K58" s="21"/>
      <c r="Z58" s="86"/>
      <c r="AA58" s="29"/>
      <c r="AB58" s="29"/>
    </row>
    <row r="59" spans="2:28" x14ac:dyDescent="0.25">
      <c r="B59" s="85"/>
      <c r="H59" s="21"/>
      <c r="I59" s="21"/>
      <c r="J59" s="21"/>
      <c r="K59" s="21"/>
      <c r="Z59" s="86"/>
      <c r="AA59" s="29"/>
      <c r="AB59" s="29"/>
    </row>
    <row r="60" spans="2:28" x14ac:dyDescent="0.25">
      <c r="B60" s="85"/>
      <c r="H60" s="21"/>
      <c r="I60" s="21"/>
      <c r="J60" s="21"/>
      <c r="K60" s="21"/>
      <c r="Z60" s="86"/>
      <c r="AA60" s="29"/>
      <c r="AB60" s="29"/>
    </row>
    <row r="61" spans="2:28" x14ac:dyDescent="0.25">
      <c r="B61" s="85"/>
      <c r="H61" s="21"/>
      <c r="I61" s="21"/>
      <c r="J61" s="21"/>
      <c r="K61" s="21"/>
      <c r="Z61" s="86"/>
      <c r="AA61" s="29"/>
      <c r="AB61" s="29"/>
    </row>
    <row r="62" spans="2:28" x14ac:dyDescent="0.25">
      <c r="B62" s="85"/>
      <c r="H62" s="21"/>
      <c r="Z62" s="86"/>
      <c r="AA62" s="29"/>
      <c r="AB62" s="29"/>
    </row>
    <row r="63" spans="2:28" x14ac:dyDescent="0.25">
      <c r="B63" s="85"/>
      <c r="H63" s="21"/>
      <c r="Z63" s="86"/>
      <c r="AA63" s="29"/>
      <c r="AB63" s="29"/>
    </row>
    <row r="64" spans="2:28" x14ac:dyDescent="0.25">
      <c r="B64" s="85"/>
      <c r="D64" s="31"/>
      <c r="H64" s="21"/>
      <c r="I64" s="21"/>
      <c r="J64" s="21"/>
      <c r="K64" s="21"/>
      <c r="Z64" s="86"/>
      <c r="AA64" s="29"/>
      <c r="AB64" s="44"/>
    </row>
    <row r="65" spans="2:28" x14ac:dyDescent="0.25">
      <c r="B65" s="85"/>
      <c r="H65" s="21"/>
      <c r="Z65" s="86"/>
      <c r="AA65" s="29"/>
      <c r="AB65" s="29"/>
    </row>
    <row r="66" spans="2:28" x14ac:dyDescent="0.25">
      <c r="B66" s="85"/>
      <c r="H66" s="21"/>
      <c r="Z66" s="86"/>
      <c r="AA66" s="29"/>
      <c r="AB66" s="29"/>
    </row>
    <row r="67" spans="2:28" x14ac:dyDescent="0.25">
      <c r="B67" s="85"/>
      <c r="H67" s="21"/>
      <c r="I67" s="21"/>
      <c r="J67" s="21"/>
      <c r="K67" s="21"/>
      <c r="Z67" s="86"/>
      <c r="AA67" s="29"/>
      <c r="AB67" s="29"/>
    </row>
    <row r="68" spans="2:28" x14ac:dyDescent="0.25">
      <c r="B68" s="85"/>
      <c r="H68" s="21"/>
      <c r="I68" s="21"/>
      <c r="J68" s="21"/>
      <c r="K68" s="21"/>
      <c r="Z68" s="86"/>
      <c r="AA68" s="29"/>
      <c r="AB68" s="29"/>
    </row>
    <row r="69" spans="2:28" x14ac:dyDescent="0.25">
      <c r="B69" s="85"/>
      <c r="H69" s="21"/>
      <c r="I69" s="21"/>
      <c r="J69" s="21"/>
      <c r="K69" s="21"/>
      <c r="Z69" s="86"/>
      <c r="AA69" s="29"/>
      <c r="AB69" s="29"/>
    </row>
    <row r="70" spans="2:28" x14ac:dyDescent="0.25">
      <c r="B70" s="85"/>
      <c r="H70" s="21"/>
      <c r="I70" s="21"/>
      <c r="J70" s="21"/>
      <c r="K70" s="21"/>
      <c r="Z70" s="86"/>
      <c r="AA70" s="29"/>
      <c r="AB70" s="29"/>
    </row>
    <row r="71" spans="2:28" x14ac:dyDescent="0.25">
      <c r="B71" s="85"/>
      <c r="H71" s="21"/>
      <c r="I71" s="21"/>
      <c r="J71" s="21"/>
      <c r="K71" s="21"/>
      <c r="Z71" s="86"/>
      <c r="AA71" s="29"/>
      <c r="AB71" s="29"/>
    </row>
    <row r="72" spans="2:28" x14ac:dyDescent="0.25">
      <c r="B72" s="85"/>
      <c r="D72" s="31"/>
      <c r="H72" s="21"/>
      <c r="I72" s="21"/>
      <c r="J72" s="21"/>
      <c r="K72" s="21"/>
      <c r="Z72" s="86"/>
      <c r="AA72" s="29"/>
      <c r="AB72" s="44"/>
    </row>
    <row r="75" spans="2:28" s="45" customFormat="1" x14ac:dyDescent="0.25">
      <c r="C75" s="46"/>
      <c r="D75" s="46"/>
      <c r="L75" s="47"/>
      <c r="M75" s="47"/>
      <c r="N75" s="47"/>
      <c r="O75" s="47"/>
      <c r="P75" s="47"/>
      <c r="Q75" s="47"/>
      <c r="R75" s="47"/>
      <c r="S75" s="47"/>
    </row>
  </sheetData>
  <mergeCells count="68">
    <mergeCell ref="Z9:Z10"/>
    <mergeCell ref="B1:U1"/>
    <mergeCell ref="E7:H7"/>
    <mergeCell ref="I7:L7"/>
    <mergeCell ref="M7:P7"/>
    <mergeCell ref="B9:B10"/>
    <mergeCell ref="B11:B12"/>
    <mergeCell ref="Z11:Z12"/>
    <mergeCell ref="B13:B14"/>
    <mergeCell ref="Z13:Z14"/>
    <mergeCell ref="B15:B16"/>
    <mergeCell ref="Z15:Z16"/>
    <mergeCell ref="B17:B18"/>
    <mergeCell ref="Z17:Z18"/>
    <mergeCell ref="B19:B20"/>
    <mergeCell ref="Z19:Z20"/>
    <mergeCell ref="B21:B22"/>
    <mergeCell ref="Z21:Z22"/>
    <mergeCell ref="B23:B24"/>
    <mergeCell ref="Z23:Z24"/>
    <mergeCell ref="B25:B26"/>
    <mergeCell ref="Z25:Z26"/>
    <mergeCell ref="B27:B28"/>
    <mergeCell ref="Z27:Z28"/>
    <mergeCell ref="B29:B30"/>
    <mergeCell ref="Z29:Z30"/>
    <mergeCell ref="B31:B32"/>
    <mergeCell ref="Z31:Z32"/>
    <mergeCell ref="B33:B34"/>
    <mergeCell ref="Z33:Z34"/>
    <mergeCell ref="B35:B36"/>
    <mergeCell ref="Z35:Z36"/>
    <mergeCell ref="B37:B38"/>
    <mergeCell ref="Z37:Z38"/>
    <mergeCell ref="B39:B40"/>
    <mergeCell ref="Z39:Z40"/>
    <mergeCell ref="B41:B42"/>
    <mergeCell ref="Z41:Z42"/>
    <mergeCell ref="B43:B44"/>
    <mergeCell ref="Z43:Z44"/>
    <mergeCell ref="B45:B46"/>
    <mergeCell ref="Z45:Z46"/>
    <mergeCell ref="B47:B48"/>
    <mergeCell ref="Z47:Z48"/>
    <mergeCell ref="B49:B50"/>
    <mergeCell ref="Z49:Z50"/>
    <mergeCell ref="B51:B52"/>
    <mergeCell ref="Z51:Z52"/>
    <mergeCell ref="B53:B54"/>
    <mergeCell ref="Z53:Z54"/>
    <mergeCell ref="B55:B56"/>
    <mergeCell ref="Z55:Z56"/>
    <mergeCell ref="B57:B58"/>
    <mergeCell ref="Z57:Z58"/>
    <mergeCell ref="B59:B60"/>
    <mergeCell ref="Z59:Z60"/>
    <mergeCell ref="B61:B62"/>
    <mergeCell ref="Z61:Z62"/>
    <mergeCell ref="B63:B64"/>
    <mergeCell ref="Z63:Z64"/>
    <mergeCell ref="B71:B72"/>
    <mergeCell ref="Z71:Z72"/>
    <mergeCell ref="B65:B66"/>
    <mergeCell ref="Z65:Z66"/>
    <mergeCell ref="B67:B68"/>
    <mergeCell ref="Z67:Z68"/>
    <mergeCell ref="B69:B70"/>
    <mergeCell ref="Z69:Z70"/>
  </mergeCells>
  <pageMargins left="0.12" right="0.4" top="0.32" bottom="0.75" header="0.3" footer="0.3"/>
  <pageSetup scale="60" orientation="portrait" horizontalDpi="360" verticalDpi="360" r:id="rId1"/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view="pageBreakPreview" zoomScale="70" zoomScaleNormal="100" zoomScaleSheetLayoutView="70" workbookViewId="0">
      <selection activeCell="D7" sqref="D7"/>
    </sheetView>
  </sheetViews>
  <sheetFormatPr defaultRowHeight="18.95" customHeight="1" x14ac:dyDescent="0.25"/>
  <cols>
    <col min="1" max="1" width="5.85546875" customWidth="1"/>
    <col min="2" max="2" width="42.5703125" style="35" customWidth="1"/>
    <col min="3" max="3" width="50.85546875" style="13" customWidth="1"/>
    <col min="4" max="4" width="3.28515625" customWidth="1"/>
    <col min="5" max="5" width="3" customWidth="1"/>
    <col min="6" max="6" width="1.5703125" customWidth="1"/>
    <col min="7" max="7" width="8.85546875" customWidth="1"/>
    <col min="8" max="8" width="2" customWidth="1"/>
    <col min="9" max="9" width="3" customWidth="1"/>
    <col min="10" max="10" width="1.5703125" customWidth="1"/>
    <col min="11" max="11" width="8.85546875" style="21" customWidth="1"/>
    <col min="12" max="12" width="2" style="21" customWidth="1"/>
    <col min="13" max="13" width="3" style="21" customWidth="1"/>
    <col min="14" max="14" width="1.5703125" style="21" customWidth="1"/>
    <col min="15" max="15" width="5.85546875" style="21" customWidth="1"/>
    <col min="16" max="16" width="2" style="21" customWidth="1"/>
    <col min="17" max="17" width="3" style="21" customWidth="1"/>
    <col min="18" max="18" width="1.5703125" style="21" customWidth="1"/>
    <col min="19" max="19" width="9.140625" customWidth="1"/>
    <col min="20" max="20" width="3" bestFit="1" customWidth="1"/>
    <col min="21" max="21" width="3" customWidth="1"/>
    <col min="22" max="22" width="1.5703125" customWidth="1"/>
    <col min="23" max="23" width="8.140625" customWidth="1"/>
    <col min="24" max="24" width="2" customWidth="1"/>
    <col min="25" max="25" width="3" customWidth="1"/>
    <col min="26" max="26" width="2.42578125" customWidth="1"/>
    <col min="27" max="27" width="8.7109375" customWidth="1"/>
    <col min="31" max="31" width="5.42578125" customWidth="1"/>
    <col min="32" max="32" width="19.5703125" style="71" bestFit="1" customWidth="1"/>
    <col min="33" max="33" width="32.28515625" bestFit="1" customWidth="1"/>
    <col min="34" max="34" width="2.42578125" bestFit="1" customWidth="1"/>
    <col min="35" max="35" width="36" bestFit="1" customWidth="1"/>
  </cols>
  <sheetData>
    <row r="1" spans="1:35" ht="36" customHeight="1" x14ac:dyDescent="0.25">
      <c r="A1" s="26" t="s">
        <v>18</v>
      </c>
      <c r="B1" s="32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35" ht="18.95" customHeight="1" x14ac:dyDescent="0.35">
      <c r="A2" s="28" t="s">
        <v>82</v>
      </c>
      <c r="B2" s="33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35" ht="18.95" customHeight="1" x14ac:dyDescent="0.25">
      <c r="A3" s="27" t="s">
        <v>13</v>
      </c>
      <c r="B3" s="32"/>
      <c r="C3" s="25"/>
      <c r="D3" s="27" t="s">
        <v>14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35" ht="18.95" customHeight="1" x14ac:dyDescent="0.25">
      <c r="A4" s="27" t="s">
        <v>20</v>
      </c>
      <c r="B4" s="34"/>
      <c r="C4" s="25"/>
      <c r="D4" s="30" t="s">
        <v>21</v>
      </c>
      <c r="E4" s="29"/>
      <c r="F4" s="29"/>
      <c r="G4" s="29"/>
      <c r="H4" s="29"/>
      <c r="I4" s="29"/>
      <c r="J4" s="29"/>
      <c r="K4" s="48"/>
      <c r="L4" s="48"/>
      <c r="M4" s="48"/>
      <c r="N4" s="48"/>
      <c r="O4" s="48"/>
      <c r="P4" s="48"/>
      <c r="Q4" s="48"/>
      <c r="R4" s="48"/>
      <c r="S4" s="29"/>
      <c r="T4" s="29"/>
      <c r="U4" s="29"/>
      <c r="V4" s="29"/>
      <c r="W4" s="29"/>
      <c r="X4" s="29"/>
      <c r="Y4" s="29"/>
      <c r="Z4" s="29"/>
      <c r="AA4" s="29"/>
      <c r="AE4" s="11" t="str">
        <f>A4</f>
        <v>24 - 29 Agustus 2026</v>
      </c>
      <c r="AF4" s="72"/>
      <c r="AG4" s="12"/>
    </row>
    <row r="5" spans="1:35" ht="18.95" customHeight="1" thickBot="1" x14ac:dyDescent="0.3">
      <c r="C5" s="25"/>
    </row>
    <row r="6" spans="1:35" ht="18.95" customHeight="1" thickTop="1" thickBot="1" x14ac:dyDescent="0.3">
      <c r="A6" s="22" t="s">
        <v>0</v>
      </c>
      <c r="B6" s="36" t="s">
        <v>1</v>
      </c>
      <c r="C6" s="14" t="s">
        <v>2</v>
      </c>
      <c r="D6" s="84" t="s">
        <v>3</v>
      </c>
      <c r="E6" s="84"/>
      <c r="F6" s="84"/>
      <c r="G6" s="84"/>
      <c r="H6" s="84" t="s">
        <v>11</v>
      </c>
      <c r="I6" s="84"/>
      <c r="J6" s="84"/>
      <c r="K6" s="84"/>
      <c r="L6" s="84" t="s">
        <v>4</v>
      </c>
      <c r="M6" s="84"/>
      <c r="N6" s="84"/>
      <c r="O6" s="84"/>
      <c r="P6" s="84" t="s">
        <v>5</v>
      </c>
      <c r="Q6" s="84"/>
      <c r="R6" s="84"/>
      <c r="S6" s="84"/>
      <c r="T6" s="84" t="s">
        <v>6</v>
      </c>
      <c r="U6" s="84"/>
      <c r="V6" s="84"/>
      <c r="W6" s="84"/>
      <c r="X6" s="84" t="s">
        <v>7</v>
      </c>
      <c r="Y6" s="84"/>
      <c r="Z6" s="84"/>
      <c r="AA6" s="84"/>
      <c r="AE6" t="s">
        <v>8</v>
      </c>
    </row>
    <row r="7" spans="1:35" ht="18.95" customHeight="1" thickTop="1" x14ac:dyDescent="0.25">
      <c r="A7" s="10"/>
      <c r="B7" s="37"/>
      <c r="C7" s="1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F7" s="71" t="s">
        <v>15</v>
      </c>
      <c r="AG7" t="s">
        <v>16</v>
      </c>
    </row>
    <row r="8" spans="1:35" ht="21" customHeight="1" x14ac:dyDescent="0.35">
      <c r="A8" s="80">
        <v>1</v>
      </c>
      <c r="B8" s="69" t="str">
        <f>IFERROR(AF8,0)</f>
        <v>BAYAN</v>
      </c>
      <c r="C8" s="70" t="str">
        <f>IFERROR(AG8,0)</f>
        <v>Herman Laksono (1)</v>
      </c>
      <c r="AE8" s="77">
        <v>1</v>
      </c>
      <c r="AF8" s="74" t="s">
        <v>45</v>
      </c>
      <c r="AG8" s="74" t="s">
        <v>83</v>
      </c>
      <c r="AI8" t="str">
        <f>AF8</f>
        <v>BAYAN</v>
      </c>
    </row>
    <row r="9" spans="1:35" ht="21" customHeight="1" x14ac:dyDescent="0.35">
      <c r="A9" s="80"/>
      <c r="B9" s="69" t="str">
        <f>IFERROR(AF9,0)</f>
        <v>BAYAN</v>
      </c>
      <c r="C9" s="70" t="str">
        <f t="shared" ref="C9:C71" si="0">IFERROR(AG9,0)</f>
        <v>Ignatius Rudy (1)</v>
      </c>
      <c r="AE9" s="77"/>
      <c r="AF9" s="74" t="s">
        <v>45</v>
      </c>
      <c r="AG9" s="74" t="s">
        <v>84</v>
      </c>
      <c r="AH9" t="s">
        <v>17</v>
      </c>
      <c r="AI9" t="str">
        <f>AF9</f>
        <v>BAYAN</v>
      </c>
    </row>
    <row r="10" spans="1:35" ht="21" customHeight="1" x14ac:dyDescent="0.35">
      <c r="A10" s="78">
        <v>2</v>
      </c>
      <c r="B10" s="66">
        <f t="shared" ref="B10:B71" si="1">IFERROR(AF10,0)</f>
        <v>0</v>
      </c>
      <c r="C10" s="63">
        <f t="shared" si="0"/>
        <v>0</v>
      </c>
      <c r="AE10" s="77">
        <v>2</v>
      </c>
      <c r="AF10" s="20"/>
      <c r="AG10" s="38"/>
      <c r="AH10" t="s">
        <v>17</v>
      </c>
      <c r="AI10">
        <f t="shared" ref="AI10:AI73" si="2">AF10</f>
        <v>0</v>
      </c>
    </row>
    <row r="11" spans="1:35" ht="21" customHeight="1" x14ac:dyDescent="0.35">
      <c r="A11" s="79"/>
      <c r="B11" s="67">
        <f t="shared" si="1"/>
        <v>0</v>
      </c>
      <c r="C11" s="65" t="str">
        <f t="shared" si="0"/>
        <v>Bye</v>
      </c>
      <c r="D11" s="16" t="s">
        <v>9</v>
      </c>
      <c r="E11" s="17">
        <v>1</v>
      </c>
      <c r="F11" s="17" t="s">
        <v>10</v>
      </c>
      <c r="G11" s="5"/>
      <c r="H11" s="21"/>
      <c r="I11" s="21"/>
      <c r="J11" s="21"/>
      <c r="AE11" s="77"/>
      <c r="AF11" s="20"/>
      <c r="AG11" s="38" t="s">
        <v>12</v>
      </c>
      <c r="AH11" t="s">
        <v>17</v>
      </c>
      <c r="AI11">
        <f t="shared" si="2"/>
        <v>0</v>
      </c>
    </row>
    <row r="12" spans="1:35" ht="21" customHeight="1" x14ac:dyDescent="0.35">
      <c r="A12" s="76">
        <v>3</v>
      </c>
      <c r="B12" s="66" t="str">
        <f t="shared" si="1"/>
        <v>WBH BALI</v>
      </c>
      <c r="C12" s="61" t="str">
        <f t="shared" si="0"/>
        <v>Imade Januartayasa, Sh</v>
      </c>
      <c r="G12" s="3"/>
      <c r="AE12" s="77">
        <v>3</v>
      </c>
      <c r="AF12" s="74" t="s">
        <v>87</v>
      </c>
      <c r="AG12" s="74" t="s">
        <v>116</v>
      </c>
      <c r="AH12" t="s">
        <v>17</v>
      </c>
      <c r="AI12" t="str">
        <f t="shared" si="2"/>
        <v>WBH BALI</v>
      </c>
    </row>
    <row r="13" spans="1:35" ht="21" customHeight="1" x14ac:dyDescent="0.35">
      <c r="A13" s="76"/>
      <c r="B13" s="67" t="str">
        <f t="shared" si="1"/>
        <v>WBH BALI</v>
      </c>
      <c r="C13" s="61" t="str">
        <f t="shared" si="0"/>
        <v>Igede Putu Aswatha Pidrawan</v>
      </c>
      <c r="G13" s="3"/>
      <c r="H13" s="16" t="s">
        <v>9</v>
      </c>
      <c r="I13" s="8">
        <f>1+E135</f>
        <v>33</v>
      </c>
      <c r="J13" s="8" t="s">
        <v>10</v>
      </c>
      <c r="K13" s="5"/>
      <c r="AE13" s="77"/>
      <c r="AF13" s="74" t="s">
        <v>87</v>
      </c>
      <c r="AG13" s="74" t="s">
        <v>117</v>
      </c>
      <c r="AH13" t="s">
        <v>17</v>
      </c>
      <c r="AI13" t="str">
        <f t="shared" si="2"/>
        <v>WBH BALI</v>
      </c>
    </row>
    <row r="14" spans="1:35" ht="21" customHeight="1" x14ac:dyDescent="0.35">
      <c r="A14" s="78">
        <v>4</v>
      </c>
      <c r="B14" s="66">
        <f t="shared" si="1"/>
        <v>0</v>
      </c>
      <c r="C14" s="63">
        <f t="shared" si="0"/>
        <v>0</v>
      </c>
      <c r="D14" s="9"/>
      <c r="E14" s="9"/>
      <c r="F14" s="9"/>
      <c r="G14" s="2"/>
      <c r="K14" s="6"/>
      <c r="AE14" s="77">
        <v>4</v>
      </c>
      <c r="AF14" s="38"/>
      <c r="AG14" s="38"/>
      <c r="AH14" t="s">
        <v>17</v>
      </c>
      <c r="AI14">
        <f t="shared" si="2"/>
        <v>0</v>
      </c>
    </row>
    <row r="15" spans="1:35" ht="21" customHeight="1" x14ac:dyDescent="0.35">
      <c r="A15" s="79"/>
      <c r="B15" s="67">
        <f t="shared" si="1"/>
        <v>0</v>
      </c>
      <c r="C15" s="65" t="str">
        <f t="shared" si="0"/>
        <v>Bye</v>
      </c>
      <c r="D15" s="16" t="s">
        <v>9</v>
      </c>
      <c r="E15" s="17">
        <f>E11+1</f>
        <v>2</v>
      </c>
      <c r="F15" s="17" t="s">
        <v>10</v>
      </c>
      <c r="G15" s="21"/>
      <c r="H15" s="21"/>
      <c r="I15" s="21"/>
      <c r="J15" s="21"/>
      <c r="K15" s="6"/>
      <c r="AE15" s="77"/>
      <c r="AF15" s="38"/>
      <c r="AG15" s="38" t="s">
        <v>12</v>
      </c>
      <c r="AH15" t="s">
        <v>17</v>
      </c>
      <c r="AI15">
        <f t="shared" si="2"/>
        <v>0</v>
      </c>
    </row>
    <row r="16" spans="1:35" ht="21" customHeight="1" x14ac:dyDescent="0.35">
      <c r="A16" s="76">
        <v>5</v>
      </c>
      <c r="B16" s="66" t="str">
        <f t="shared" si="1"/>
        <v>PB PASIFIC</v>
      </c>
      <c r="C16" s="61" t="str">
        <f t="shared" si="0"/>
        <v>Dedy Atmawijaya</v>
      </c>
      <c r="K16" s="6"/>
      <c r="AE16" s="77">
        <v>5</v>
      </c>
      <c r="AF16" s="74" t="s">
        <v>91</v>
      </c>
      <c r="AG16" s="74" t="s">
        <v>92</v>
      </c>
      <c r="AH16" t="s">
        <v>17</v>
      </c>
      <c r="AI16" t="str">
        <f t="shared" si="2"/>
        <v>PB PASIFIC</v>
      </c>
    </row>
    <row r="17" spans="1:35" ht="21" customHeight="1" x14ac:dyDescent="0.35">
      <c r="A17" s="76"/>
      <c r="B17" s="67" t="str">
        <f t="shared" si="1"/>
        <v>PB PASIFIC</v>
      </c>
      <c r="C17" s="61" t="str">
        <f t="shared" si="0"/>
        <v>Edy Burhanuddin Murad</v>
      </c>
      <c r="K17" s="6"/>
      <c r="L17" s="18" t="s">
        <v>9</v>
      </c>
      <c r="M17" s="23">
        <f>1+I133</f>
        <v>49</v>
      </c>
      <c r="N17" s="23" t="s">
        <v>10</v>
      </c>
      <c r="O17" s="5"/>
      <c r="AE17" s="77"/>
      <c r="AF17" s="74" t="s">
        <v>91</v>
      </c>
      <c r="AG17" s="74" t="s">
        <v>93</v>
      </c>
      <c r="AH17" t="s">
        <v>17</v>
      </c>
      <c r="AI17" t="str">
        <f t="shared" si="2"/>
        <v>PB PASIFIC</v>
      </c>
    </row>
    <row r="18" spans="1:35" ht="21" customHeight="1" x14ac:dyDescent="0.35">
      <c r="A18" s="78">
        <v>6</v>
      </c>
      <c r="B18" s="66">
        <f t="shared" si="1"/>
        <v>0</v>
      </c>
      <c r="C18" s="63">
        <f t="shared" si="0"/>
        <v>0</v>
      </c>
      <c r="G18" s="21"/>
      <c r="H18" s="21"/>
      <c r="I18" s="21"/>
      <c r="J18" s="21"/>
      <c r="K18" s="6"/>
      <c r="O18" s="6"/>
      <c r="AE18" s="77">
        <v>6</v>
      </c>
      <c r="AF18" s="38"/>
      <c r="AG18" s="38"/>
      <c r="AH18" t="s">
        <v>17</v>
      </c>
      <c r="AI18">
        <f t="shared" si="2"/>
        <v>0</v>
      </c>
    </row>
    <row r="19" spans="1:35" ht="21" customHeight="1" x14ac:dyDescent="0.35">
      <c r="A19" s="79"/>
      <c r="B19" s="67">
        <f t="shared" si="1"/>
        <v>0</v>
      </c>
      <c r="C19" s="65" t="str">
        <f t="shared" si="0"/>
        <v>Bye</v>
      </c>
      <c r="D19" s="16" t="s">
        <v>9</v>
      </c>
      <c r="E19" s="17">
        <f>E15+1</f>
        <v>3</v>
      </c>
      <c r="F19" s="17" t="s">
        <v>10</v>
      </c>
      <c r="G19" s="5"/>
      <c r="H19" s="21"/>
      <c r="I19" s="21"/>
      <c r="J19" s="21"/>
      <c r="K19" s="6"/>
      <c r="O19" s="6"/>
      <c r="AE19" s="77"/>
      <c r="AF19" s="38"/>
      <c r="AG19" s="38" t="s">
        <v>12</v>
      </c>
      <c r="AH19" t="s">
        <v>17</v>
      </c>
      <c r="AI19">
        <f t="shared" si="2"/>
        <v>0</v>
      </c>
    </row>
    <row r="20" spans="1:35" ht="21" customHeight="1" x14ac:dyDescent="0.35">
      <c r="A20" s="76">
        <v>7</v>
      </c>
      <c r="B20" s="66" t="str">
        <f t="shared" si="1"/>
        <v>PB GAIS</v>
      </c>
      <c r="C20" s="61" t="str">
        <f t="shared" si="0"/>
        <v>Laaka</v>
      </c>
      <c r="G20" s="6"/>
      <c r="H20" s="24"/>
      <c r="I20" s="24"/>
      <c r="J20" s="24"/>
      <c r="K20" s="7"/>
      <c r="O20" s="6"/>
      <c r="AE20" s="77">
        <v>7</v>
      </c>
      <c r="AF20" s="75" t="s">
        <v>96</v>
      </c>
      <c r="AG20" s="74" t="s">
        <v>94</v>
      </c>
      <c r="AH20" t="s">
        <v>17</v>
      </c>
      <c r="AI20" t="str">
        <f t="shared" si="2"/>
        <v>PB GAIS</v>
      </c>
    </row>
    <row r="21" spans="1:35" ht="21" customHeight="1" x14ac:dyDescent="0.35">
      <c r="A21" s="76"/>
      <c r="B21" s="67" t="str">
        <f t="shared" si="1"/>
        <v>PB GAIS</v>
      </c>
      <c r="C21" s="61" t="str">
        <f t="shared" si="0"/>
        <v>Ridwansyah</v>
      </c>
      <c r="G21" s="6"/>
      <c r="H21" s="21" t="s">
        <v>9</v>
      </c>
      <c r="I21" s="21">
        <f>1+I13</f>
        <v>34</v>
      </c>
      <c r="J21" s="21" t="s">
        <v>10</v>
      </c>
      <c r="O21" s="6"/>
      <c r="AE21" s="77"/>
      <c r="AF21" s="75" t="s">
        <v>96</v>
      </c>
      <c r="AG21" s="74" t="s">
        <v>95</v>
      </c>
      <c r="AH21" t="s">
        <v>17</v>
      </c>
      <c r="AI21" t="str">
        <f t="shared" si="2"/>
        <v>PB GAIS</v>
      </c>
    </row>
    <row r="22" spans="1:35" ht="21" customHeight="1" x14ac:dyDescent="0.35">
      <c r="A22" s="78">
        <v>8</v>
      </c>
      <c r="B22" s="66" t="str">
        <f t="shared" si="1"/>
        <v>TR SPORT BERAU</v>
      </c>
      <c r="C22" s="63" t="str">
        <f t="shared" si="0"/>
        <v>Suhendri</v>
      </c>
      <c r="D22" s="9"/>
      <c r="E22" s="9"/>
      <c r="F22" s="9"/>
      <c r="G22" s="7"/>
      <c r="H22" s="21"/>
      <c r="I22" s="21"/>
      <c r="J22" s="21"/>
      <c r="O22" s="6"/>
      <c r="AE22" s="77">
        <v>8</v>
      </c>
      <c r="AF22" s="74" t="s">
        <v>99</v>
      </c>
      <c r="AG22" s="74" t="s">
        <v>97</v>
      </c>
      <c r="AH22" t="s">
        <v>17</v>
      </c>
      <c r="AI22" t="str">
        <f t="shared" si="2"/>
        <v>TR SPORT BERAU</v>
      </c>
    </row>
    <row r="23" spans="1:35" ht="21" customHeight="1" x14ac:dyDescent="0.35">
      <c r="A23" s="79"/>
      <c r="B23" s="67" t="str">
        <f t="shared" si="1"/>
        <v>TR SPORT BERAU</v>
      </c>
      <c r="C23" s="65" t="str">
        <f t="shared" si="0"/>
        <v>A. Badril</v>
      </c>
      <c r="D23" s="16" t="s">
        <v>9</v>
      </c>
      <c r="E23" s="17">
        <f>E19+1</f>
        <v>4</v>
      </c>
      <c r="F23" s="17" t="s">
        <v>10</v>
      </c>
      <c r="G23" s="21"/>
      <c r="H23" s="21"/>
      <c r="I23" s="21"/>
      <c r="J23" s="21"/>
      <c r="O23" s="6"/>
      <c r="AE23" s="77"/>
      <c r="AF23" s="74" t="s">
        <v>99</v>
      </c>
      <c r="AG23" s="74" t="s">
        <v>98</v>
      </c>
      <c r="AH23" t="s">
        <v>17</v>
      </c>
      <c r="AI23" t="str">
        <f t="shared" si="2"/>
        <v>TR SPORT BERAU</v>
      </c>
    </row>
    <row r="24" spans="1:35" ht="21" customHeight="1" x14ac:dyDescent="0.35">
      <c r="A24" s="76">
        <v>9</v>
      </c>
      <c r="B24" s="66" t="str">
        <f t="shared" si="1"/>
        <v>MAXPLAY</v>
      </c>
      <c r="C24" s="61" t="str">
        <f t="shared" si="0"/>
        <v>Dieky Susilo (5/8)</v>
      </c>
      <c r="G24" s="21"/>
      <c r="H24" s="21"/>
      <c r="I24" s="21"/>
      <c r="J24" s="21"/>
      <c r="O24" s="6"/>
      <c r="AE24" s="77">
        <v>9</v>
      </c>
      <c r="AF24" s="74" t="s">
        <v>100</v>
      </c>
      <c r="AG24" s="74" t="s">
        <v>199</v>
      </c>
      <c r="AH24" t="s">
        <v>17</v>
      </c>
      <c r="AI24" t="str">
        <f t="shared" si="2"/>
        <v>MAXPLAY</v>
      </c>
    </row>
    <row r="25" spans="1:35" ht="21" customHeight="1" x14ac:dyDescent="0.35">
      <c r="A25" s="76"/>
      <c r="B25" s="67" t="str">
        <f t="shared" si="1"/>
        <v>MAXPLAY</v>
      </c>
      <c r="C25" s="61" t="str">
        <f t="shared" si="0"/>
        <v>Herman (5/8)</v>
      </c>
      <c r="G25" s="21"/>
      <c r="H25" s="21"/>
      <c r="I25" s="21"/>
      <c r="J25" s="21"/>
      <c r="O25" s="6"/>
      <c r="P25" s="18" t="s">
        <v>9</v>
      </c>
      <c r="Q25" s="23">
        <f>1+M129</f>
        <v>57</v>
      </c>
      <c r="R25" s="23" t="s">
        <v>10</v>
      </c>
      <c r="S25" s="1"/>
      <c r="AE25" s="77"/>
      <c r="AF25" s="74" t="s">
        <v>100</v>
      </c>
      <c r="AG25" s="74" t="s">
        <v>200</v>
      </c>
      <c r="AH25" t="s">
        <v>17</v>
      </c>
      <c r="AI25" t="str">
        <f t="shared" si="2"/>
        <v>MAXPLAY</v>
      </c>
    </row>
    <row r="26" spans="1:35" ht="21" customHeight="1" x14ac:dyDescent="0.35">
      <c r="A26" s="78">
        <v>10</v>
      </c>
      <c r="B26" s="66">
        <f t="shared" si="1"/>
        <v>0</v>
      </c>
      <c r="C26" s="63">
        <f t="shared" si="0"/>
        <v>0</v>
      </c>
      <c r="G26" s="21"/>
      <c r="H26" s="21"/>
      <c r="I26" s="21"/>
      <c r="J26" s="21"/>
      <c r="O26" s="6"/>
      <c r="S26" s="3"/>
      <c r="AE26" s="77">
        <v>10</v>
      </c>
      <c r="AF26" s="20"/>
      <c r="AG26" s="38"/>
      <c r="AH26" t="s">
        <v>17</v>
      </c>
      <c r="AI26">
        <f t="shared" si="2"/>
        <v>0</v>
      </c>
    </row>
    <row r="27" spans="1:35" ht="21" customHeight="1" x14ac:dyDescent="0.35">
      <c r="A27" s="79"/>
      <c r="B27" s="67">
        <f t="shared" si="1"/>
        <v>0</v>
      </c>
      <c r="C27" s="65" t="str">
        <f t="shared" si="0"/>
        <v>Bye</v>
      </c>
      <c r="D27" s="16" t="s">
        <v>9</v>
      </c>
      <c r="E27" s="17">
        <f>E23+1</f>
        <v>5</v>
      </c>
      <c r="F27" s="17" t="s">
        <v>10</v>
      </c>
      <c r="G27" s="5"/>
      <c r="H27" s="21"/>
      <c r="I27" s="21"/>
      <c r="J27" s="21"/>
      <c r="O27" s="6"/>
      <c r="S27" s="3"/>
      <c r="AE27" s="77"/>
      <c r="AF27" s="20"/>
      <c r="AG27" s="38" t="s">
        <v>12</v>
      </c>
      <c r="AH27" t="s">
        <v>17</v>
      </c>
      <c r="AI27">
        <f t="shared" si="2"/>
        <v>0</v>
      </c>
    </row>
    <row r="28" spans="1:35" ht="21" customHeight="1" x14ac:dyDescent="0.35">
      <c r="A28" s="76">
        <v>11</v>
      </c>
      <c r="B28" s="66" t="str">
        <f t="shared" si="1"/>
        <v>PB. DAMAI</v>
      </c>
      <c r="C28" s="61" t="str">
        <f t="shared" si="0"/>
        <v>Muhammad Nasir</v>
      </c>
      <c r="G28" s="6"/>
      <c r="H28" s="21"/>
      <c r="I28" s="21"/>
      <c r="J28" s="21"/>
      <c r="O28" s="6"/>
      <c r="S28" s="3"/>
      <c r="AE28" s="77">
        <v>11</v>
      </c>
      <c r="AF28" s="74" t="s">
        <v>101</v>
      </c>
      <c r="AG28" s="74" t="s">
        <v>102</v>
      </c>
      <c r="AH28" t="s">
        <v>17</v>
      </c>
      <c r="AI28" t="str">
        <f t="shared" si="2"/>
        <v>PB. DAMAI</v>
      </c>
    </row>
    <row r="29" spans="1:35" ht="21" customHeight="1" x14ac:dyDescent="0.35">
      <c r="A29" s="76"/>
      <c r="B29" s="67" t="str">
        <f t="shared" si="1"/>
        <v>PB. DAMAI</v>
      </c>
      <c r="C29" s="61" t="str">
        <f t="shared" si="0"/>
        <v>Syarifuddin</v>
      </c>
      <c r="G29" s="6"/>
      <c r="H29" s="8" t="s">
        <v>9</v>
      </c>
      <c r="I29" s="8">
        <f>1+I21</f>
        <v>35</v>
      </c>
      <c r="J29" s="8" t="s">
        <v>10</v>
      </c>
      <c r="K29" s="5"/>
      <c r="O29" s="6"/>
      <c r="S29" s="3"/>
      <c r="AE29" s="77"/>
      <c r="AF29" s="74" t="s">
        <v>101</v>
      </c>
      <c r="AG29" s="74" t="s">
        <v>103</v>
      </c>
      <c r="AH29" t="s">
        <v>17</v>
      </c>
      <c r="AI29" t="str">
        <f t="shared" si="2"/>
        <v>PB. DAMAI</v>
      </c>
    </row>
    <row r="30" spans="1:35" ht="21" customHeight="1" x14ac:dyDescent="0.35">
      <c r="A30" s="78">
        <v>12</v>
      </c>
      <c r="B30" s="66">
        <f t="shared" si="1"/>
        <v>0</v>
      </c>
      <c r="C30" s="63">
        <f t="shared" si="0"/>
        <v>0</v>
      </c>
      <c r="D30" s="9"/>
      <c r="E30" s="9"/>
      <c r="F30" s="9"/>
      <c r="G30" s="7"/>
      <c r="K30" s="6"/>
      <c r="O30" s="6"/>
      <c r="S30" s="3"/>
      <c r="AE30" s="77">
        <v>12</v>
      </c>
      <c r="AF30" s="38"/>
      <c r="AG30" s="38"/>
      <c r="AH30" t="s">
        <v>17</v>
      </c>
      <c r="AI30">
        <f t="shared" si="2"/>
        <v>0</v>
      </c>
    </row>
    <row r="31" spans="1:35" ht="21" customHeight="1" x14ac:dyDescent="0.35">
      <c r="A31" s="79"/>
      <c r="B31" s="67">
        <f t="shared" si="1"/>
        <v>0</v>
      </c>
      <c r="C31" s="65" t="str">
        <f t="shared" si="0"/>
        <v>Bye</v>
      </c>
      <c r="D31" s="16" t="s">
        <v>9</v>
      </c>
      <c r="E31" s="17">
        <f>E27+1</f>
        <v>6</v>
      </c>
      <c r="F31" s="17" t="s">
        <v>10</v>
      </c>
      <c r="G31" s="21"/>
      <c r="H31" s="21"/>
      <c r="I31" s="21"/>
      <c r="J31" s="21"/>
      <c r="K31" s="6"/>
      <c r="O31" s="6"/>
      <c r="S31" s="3"/>
      <c r="AE31" s="77"/>
      <c r="AF31" s="38"/>
      <c r="AG31" s="38" t="s">
        <v>12</v>
      </c>
      <c r="AH31" t="s">
        <v>17</v>
      </c>
      <c r="AI31">
        <f t="shared" si="2"/>
        <v>0</v>
      </c>
    </row>
    <row r="32" spans="1:35" ht="21" customHeight="1" x14ac:dyDescent="0.35">
      <c r="A32" s="76">
        <v>13</v>
      </c>
      <c r="B32" s="66" t="str">
        <f t="shared" si="1"/>
        <v>Pb.national</v>
      </c>
      <c r="C32" s="61" t="str">
        <f t="shared" si="0"/>
        <v>Agus Waluyo</v>
      </c>
      <c r="G32" s="21"/>
      <c r="K32" s="6"/>
      <c r="L32" s="24"/>
      <c r="M32" s="24"/>
      <c r="N32" s="24"/>
      <c r="O32" s="7"/>
      <c r="S32" s="3"/>
      <c r="AE32" s="77">
        <v>13</v>
      </c>
      <c r="AF32" s="74" t="s">
        <v>104</v>
      </c>
      <c r="AG32" s="74" t="s">
        <v>105</v>
      </c>
      <c r="AH32" t="s">
        <v>17</v>
      </c>
      <c r="AI32" t="str">
        <f t="shared" si="2"/>
        <v>Pb.national</v>
      </c>
    </row>
    <row r="33" spans="1:35" ht="21" customHeight="1" x14ac:dyDescent="0.35">
      <c r="A33" s="76"/>
      <c r="B33" s="67" t="str">
        <f t="shared" si="1"/>
        <v>Pb.national</v>
      </c>
      <c r="C33" s="61" t="str">
        <f t="shared" si="0"/>
        <v>Zullahmi</v>
      </c>
      <c r="G33" s="21"/>
      <c r="K33" s="6"/>
      <c r="L33" s="18" t="s">
        <v>9</v>
      </c>
      <c r="M33" s="23">
        <f>1+M17</f>
        <v>50</v>
      </c>
      <c r="N33" s="23" t="s">
        <v>10</v>
      </c>
      <c r="S33" s="3"/>
      <c r="AE33" s="77"/>
      <c r="AF33" s="74" t="s">
        <v>104</v>
      </c>
      <c r="AG33" s="74" t="s">
        <v>106</v>
      </c>
      <c r="AH33" t="s">
        <v>17</v>
      </c>
      <c r="AI33" t="str">
        <f t="shared" si="2"/>
        <v>Pb.national</v>
      </c>
    </row>
    <row r="34" spans="1:35" ht="21" customHeight="1" x14ac:dyDescent="0.35">
      <c r="A34" s="78">
        <v>14</v>
      </c>
      <c r="B34" s="66">
        <f t="shared" si="1"/>
        <v>0</v>
      </c>
      <c r="C34" s="63">
        <f t="shared" si="0"/>
        <v>0</v>
      </c>
      <c r="G34" s="21"/>
      <c r="H34" s="21"/>
      <c r="I34" s="21"/>
      <c r="J34" s="21"/>
      <c r="K34" s="6"/>
      <c r="S34" s="3"/>
      <c r="AE34" s="77">
        <v>14</v>
      </c>
      <c r="AF34" s="38"/>
      <c r="AG34" s="38"/>
      <c r="AH34" t="s">
        <v>17</v>
      </c>
      <c r="AI34">
        <f t="shared" si="2"/>
        <v>0</v>
      </c>
    </row>
    <row r="35" spans="1:35" ht="21" customHeight="1" x14ac:dyDescent="0.35">
      <c r="A35" s="79"/>
      <c r="B35" s="67">
        <f t="shared" si="1"/>
        <v>0</v>
      </c>
      <c r="C35" s="65" t="str">
        <f t="shared" si="0"/>
        <v>Bye</v>
      </c>
      <c r="D35" s="16" t="s">
        <v>9</v>
      </c>
      <c r="E35" s="17">
        <f>E31+1</f>
        <v>7</v>
      </c>
      <c r="F35" s="17" t="s">
        <v>10</v>
      </c>
      <c r="G35" s="5"/>
      <c r="H35" s="21"/>
      <c r="I35" s="21"/>
      <c r="J35" s="21"/>
      <c r="K35" s="6"/>
      <c r="S35" s="3"/>
      <c r="AE35" s="77"/>
      <c r="AF35" s="38"/>
      <c r="AG35" s="38" t="s">
        <v>12</v>
      </c>
      <c r="AH35" t="s">
        <v>17</v>
      </c>
      <c r="AI35">
        <f t="shared" si="2"/>
        <v>0</v>
      </c>
    </row>
    <row r="36" spans="1:35" ht="21" customHeight="1" x14ac:dyDescent="0.35">
      <c r="A36" s="76">
        <v>15</v>
      </c>
      <c r="B36" s="66" t="str">
        <f t="shared" si="1"/>
        <v>PB.CIFIC BALIKPAPAN</v>
      </c>
      <c r="C36" s="61" t="str">
        <f t="shared" si="0"/>
        <v>Murdhoko Ari Setiono</v>
      </c>
      <c r="G36" s="6"/>
      <c r="H36" s="24"/>
      <c r="I36" s="24"/>
      <c r="J36" s="24"/>
      <c r="K36" s="7"/>
      <c r="S36" s="3"/>
      <c r="AE36" s="77">
        <v>15</v>
      </c>
      <c r="AF36" s="74" t="s">
        <v>109</v>
      </c>
      <c r="AG36" s="74" t="s">
        <v>107</v>
      </c>
      <c r="AH36" t="s">
        <v>17</v>
      </c>
      <c r="AI36" t="str">
        <f t="shared" si="2"/>
        <v>PB.CIFIC BALIKPAPAN</v>
      </c>
    </row>
    <row r="37" spans="1:35" ht="21" customHeight="1" x14ac:dyDescent="0.35">
      <c r="A37" s="76"/>
      <c r="B37" s="67" t="str">
        <f t="shared" si="1"/>
        <v>PB.CIFIC BALIKPAPAN</v>
      </c>
      <c r="C37" s="61" t="str">
        <f t="shared" si="0"/>
        <v>Wahyu Hidayat</v>
      </c>
      <c r="G37" s="6"/>
      <c r="H37" s="21" t="s">
        <v>9</v>
      </c>
      <c r="I37" s="21">
        <f>1+I29</f>
        <v>36</v>
      </c>
      <c r="J37" s="21" t="s">
        <v>10</v>
      </c>
      <c r="S37" s="3"/>
      <c r="AE37" s="77"/>
      <c r="AF37" s="74" t="s">
        <v>109</v>
      </c>
      <c r="AG37" s="74" t="s">
        <v>108</v>
      </c>
      <c r="AH37" t="s">
        <v>17</v>
      </c>
      <c r="AI37" t="str">
        <f t="shared" si="2"/>
        <v>PB.CIFIC BALIKPAPAN</v>
      </c>
    </row>
    <row r="38" spans="1:35" ht="21" customHeight="1" x14ac:dyDescent="0.35">
      <c r="A38" s="78">
        <v>16</v>
      </c>
      <c r="B38" s="66" t="str">
        <f t="shared" si="1"/>
        <v>PT SARANA LANGGENG PERKASA</v>
      </c>
      <c r="C38" s="63" t="str">
        <f t="shared" si="0"/>
        <v>Hendry Yanto</v>
      </c>
      <c r="D38" s="9"/>
      <c r="E38" s="9"/>
      <c r="F38" s="9"/>
      <c r="G38" s="7"/>
      <c r="H38" s="21"/>
      <c r="I38" s="21"/>
      <c r="J38" s="21"/>
      <c r="S38" s="3"/>
      <c r="AE38" s="77">
        <v>16</v>
      </c>
      <c r="AF38" s="74" t="s">
        <v>110</v>
      </c>
      <c r="AG38" s="74" t="s">
        <v>111</v>
      </c>
      <c r="AH38" t="s">
        <v>17</v>
      </c>
      <c r="AI38" t="str">
        <f t="shared" si="2"/>
        <v>PT SARANA LANGGENG PERKASA</v>
      </c>
    </row>
    <row r="39" spans="1:35" ht="21" customHeight="1" x14ac:dyDescent="0.35">
      <c r="A39" s="79"/>
      <c r="B39" s="67" t="str">
        <f t="shared" si="1"/>
        <v>PT SARANA LANGGENG PERKASA</v>
      </c>
      <c r="C39" s="65" t="str">
        <f t="shared" si="0"/>
        <v>Edi Santoso</v>
      </c>
      <c r="D39" s="16" t="s">
        <v>9</v>
      </c>
      <c r="E39" s="17">
        <f>E35+1</f>
        <v>8</v>
      </c>
      <c r="F39" s="17" t="s">
        <v>10</v>
      </c>
      <c r="G39" s="21"/>
      <c r="H39" s="21"/>
      <c r="I39" s="21"/>
      <c r="J39" s="21"/>
      <c r="S39" s="3"/>
      <c r="AE39" s="77"/>
      <c r="AF39" s="74" t="s">
        <v>110</v>
      </c>
      <c r="AG39" s="74" t="s">
        <v>112</v>
      </c>
      <c r="AH39" t="s">
        <v>17</v>
      </c>
      <c r="AI39" t="str">
        <f t="shared" si="2"/>
        <v>PT SARANA LANGGENG PERKASA</v>
      </c>
    </row>
    <row r="40" spans="1:35" ht="21" customHeight="1" x14ac:dyDescent="0.35">
      <c r="A40" s="76">
        <v>17</v>
      </c>
      <c r="B40" s="66" t="str">
        <f t="shared" si="1"/>
        <v>PB MULIA BARU SANGATTA</v>
      </c>
      <c r="C40" s="61" t="str">
        <f t="shared" si="0"/>
        <v>Flandy Limpele (3/4)</v>
      </c>
      <c r="G40" s="21"/>
      <c r="H40" s="21"/>
      <c r="I40" s="21"/>
      <c r="J40" s="21"/>
      <c r="S40" s="3"/>
      <c r="T40" s="19"/>
      <c r="W40" s="9"/>
      <c r="AE40" s="77">
        <v>17</v>
      </c>
      <c r="AF40" s="74" t="s">
        <v>57</v>
      </c>
      <c r="AG40" s="74" t="s">
        <v>194</v>
      </c>
      <c r="AH40" t="s">
        <v>17</v>
      </c>
      <c r="AI40" t="str">
        <f t="shared" si="2"/>
        <v>PB MULIA BARU SANGATTA</v>
      </c>
    </row>
    <row r="41" spans="1:35" ht="21" customHeight="1" x14ac:dyDescent="0.35">
      <c r="A41" s="76"/>
      <c r="B41" s="67" t="str">
        <f t="shared" si="1"/>
        <v>PB MULIA BARU SANGATTA</v>
      </c>
      <c r="C41" s="61" t="str">
        <f t="shared" si="0"/>
        <v>Dedy Sardiana (3/4)</v>
      </c>
      <c r="G41" s="21"/>
      <c r="H41" s="21"/>
      <c r="I41" s="21"/>
      <c r="J41" s="21"/>
      <c r="S41" s="3"/>
      <c r="T41" s="18" t="s">
        <v>9</v>
      </c>
      <c r="U41" s="23">
        <f>Q121+1</f>
        <v>61</v>
      </c>
      <c r="V41" s="23" t="s">
        <v>10</v>
      </c>
      <c r="W41" s="1"/>
      <c r="AE41" s="77"/>
      <c r="AF41" s="74" t="s">
        <v>57</v>
      </c>
      <c r="AG41" s="74" t="s">
        <v>195</v>
      </c>
      <c r="AH41" t="s">
        <v>17</v>
      </c>
      <c r="AI41" t="str">
        <f t="shared" si="2"/>
        <v>PB MULIA BARU SANGATTA</v>
      </c>
    </row>
    <row r="42" spans="1:35" ht="21" customHeight="1" x14ac:dyDescent="0.35">
      <c r="A42" s="78">
        <v>18</v>
      </c>
      <c r="B42" s="66">
        <f t="shared" si="1"/>
        <v>0</v>
      </c>
      <c r="C42" s="63">
        <f t="shared" si="0"/>
        <v>0</v>
      </c>
      <c r="G42" s="21"/>
      <c r="H42" s="21"/>
      <c r="I42" s="21"/>
      <c r="J42" s="21"/>
      <c r="S42" s="3"/>
      <c r="W42" s="3"/>
      <c r="AE42" s="77">
        <v>18</v>
      </c>
      <c r="AF42" s="20"/>
      <c r="AG42" s="38"/>
      <c r="AH42" t="s">
        <v>17</v>
      </c>
      <c r="AI42">
        <f t="shared" si="2"/>
        <v>0</v>
      </c>
    </row>
    <row r="43" spans="1:35" ht="21" customHeight="1" x14ac:dyDescent="0.35">
      <c r="A43" s="79"/>
      <c r="B43" s="67">
        <f t="shared" si="1"/>
        <v>0</v>
      </c>
      <c r="C43" s="65" t="str">
        <f t="shared" si="0"/>
        <v>Bye</v>
      </c>
      <c r="D43" s="16" t="s">
        <v>9</v>
      </c>
      <c r="E43" s="17">
        <f>E39+1</f>
        <v>9</v>
      </c>
      <c r="F43" s="17" t="s">
        <v>10</v>
      </c>
      <c r="G43" s="5"/>
      <c r="H43" s="21"/>
      <c r="I43" s="21"/>
      <c r="J43" s="21"/>
      <c r="S43" s="3"/>
      <c r="W43" s="3"/>
      <c r="AE43" s="77"/>
      <c r="AF43" s="20"/>
      <c r="AG43" s="38" t="s">
        <v>12</v>
      </c>
      <c r="AH43" t="s">
        <v>17</v>
      </c>
      <c r="AI43">
        <f t="shared" si="2"/>
        <v>0</v>
      </c>
    </row>
    <row r="44" spans="1:35" ht="21" customHeight="1" x14ac:dyDescent="0.35">
      <c r="A44" s="76">
        <v>19</v>
      </c>
      <c r="B44" s="66" t="str">
        <f t="shared" si="1"/>
        <v>Wichindo</v>
      </c>
      <c r="C44" s="61" t="str">
        <f t="shared" si="0"/>
        <v>Bambang Teguh Wahono</v>
      </c>
      <c r="G44" s="6"/>
      <c r="H44" s="21"/>
      <c r="I44" s="21"/>
      <c r="J44" s="21"/>
      <c r="S44" s="3"/>
      <c r="W44" s="3"/>
      <c r="AE44" s="77">
        <v>19</v>
      </c>
      <c r="AF44" s="74" t="s">
        <v>113</v>
      </c>
      <c r="AG44" s="74" t="s">
        <v>114</v>
      </c>
      <c r="AH44" t="s">
        <v>17</v>
      </c>
      <c r="AI44" t="str">
        <f t="shared" si="2"/>
        <v>Wichindo</v>
      </c>
    </row>
    <row r="45" spans="1:35" ht="21" customHeight="1" x14ac:dyDescent="0.35">
      <c r="A45" s="76"/>
      <c r="B45" s="67" t="str">
        <f t="shared" si="1"/>
        <v>Wichindo</v>
      </c>
      <c r="C45" s="61" t="str">
        <f t="shared" si="0"/>
        <v>Bajuri</v>
      </c>
      <c r="G45" s="6"/>
      <c r="H45" s="8" t="s">
        <v>9</v>
      </c>
      <c r="I45" s="8">
        <f>1+I37</f>
        <v>37</v>
      </c>
      <c r="J45" s="8" t="s">
        <v>10</v>
      </c>
      <c r="K45" s="5"/>
      <c r="S45" s="3"/>
      <c r="W45" s="3"/>
      <c r="AE45" s="77"/>
      <c r="AF45" s="74" t="s">
        <v>113</v>
      </c>
      <c r="AG45" s="74" t="s">
        <v>115</v>
      </c>
      <c r="AH45" t="s">
        <v>17</v>
      </c>
      <c r="AI45" t="str">
        <f t="shared" si="2"/>
        <v>Wichindo</v>
      </c>
    </row>
    <row r="46" spans="1:35" ht="21" customHeight="1" x14ac:dyDescent="0.35">
      <c r="A46" s="78">
        <v>20</v>
      </c>
      <c r="B46" s="66">
        <f t="shared" si="1"/>
        <v>0</v>
      </c>
      <c r="C46" s="63">
        <f t="shared" si="0"/>
        <v>0</v>
      </c>
      <c r="D46" s="9"/>
      <c r="E46" s="9"/>
      <c r="F46" s="9"/>
      <c r="G46" s="7"/>
      <c r="K46" s="6"/>
      <c r="S46" s="3"/>
      <c r="W46" s="3"/>
      <c r="AE46" s="77">
        <v>20</v>
      </c>
      <c r="AF46" s="38"/>
      <c r="AG46" s="38"/>
      <c r="AH46" t="s">
        <v>17</v>
      </c>
      <c r="AI46">
        <f t="shared" si="2"/>
        <v>0</v>
      </c>
    </row>
    <row r="47" spans="1:35" ht="21" customHeight="1" x14ac:dyDescent="0.35">
      <c r="A47" s="79"/>
      <c r="B47" s="67">
        <f t="shared" si="1"/>
        <v>0</v>
      </c>
      <c r="C47" s="65" t="str">
        <f t="shared" si="0"/>
        <v>Bye</v>
      </c>
      <c r="D47" s="16" t="s">
        <v>9</v>
      </c>
      <c r="E47" s="17">
        <f>E43+1</f>
        <v>10</v>
      </c>
      <c r="F47" s="17" t="s">
        <v>10</v>
      </c>
      <c r="G47" s="21"/>
      <c r="H47" s="21"/>
      <c r="I47" s="21"/>
      <c r="J47" s="21"/>
      <c r="K47" s="6"/>
      <c r="S47" s="3"/>
      <c r="W47" s="3"/>
      <c r="AE47" s="77"/>
      <c r="AF47" s="38"/>
      <c r="AG47" s="38" t="s">
        <v>12</v>
      </c>
      <c r="AH47" t="s">
        <v>17</v>
      </c>
      <c r="AI47">
        <f t="shared" si="2"/>
        <v>0</v>
      </c>
    </row>
    <row r="48" spans="1:35" ht="21" customHeight="1" x14ac:dyDescent="0.35">
      <c r="A48" s="76">
        <v>21</v>
      </c>
      <c r="B48" s="66" t="str">
        <f t="shared" si="1"/>
        <v>WBH BALI</v>
      </c>
      <c r="C48" s="61" t="str">
        <f t="shared" si="0"/>
        <v>Made Suryawan</v>
      </c>
      <c r="G48" s="21"/>
      <c r="K48" s="6"/>
      <c r="S48" s="3"/>
      <c r="W48" s="3"/>
      <c r="AE48" s="77">
        <v>21</v>
      </c>
      <c r="AF48" s="74" t="s">
        <v>87</v>
      </c>
      <c r="AG48" s="74" t="s">
        <v>85</v>
      </c>
      <c r="AH48" t="s">
        <v>17</v>
      </c>
      <c r="AI48" t="str">
        <f t="shared" si="2"/>
        <v>WBH BALI</v>
      </c>
    </row>
    <row r="49" spans="1:35" ht="21" customHeight="1" x14ac:dyDescent="0.35">
      <c r="A49" s="76"/>
      <c r="B49" s="67" t="str">
        <f t="shared" si="1"/>
        <v>WBH BALI</v>
      </c>
      <c r="C49" s="61" t="str">
        <f t="shared" si="0"/>
        <v>Iketut Susrama</v>
      </c>
      <c r="G49" s="21"/>
      <c r="K49" s="6"/>
      <c r="L49" s="18" t="s">
        <v>9</v>
      </c>
      <c r="M49" s="23">
        <f>1+M33</f>
        <v>51</v>
      </c>
      <c r="N49" s="23" t="s">
        <v>10</v>
      </c>
      <c r="O49" s="5"/>
      <c r="S49" s="3"/>
      <c r="W49" s="3"/>
      <c r="AE49" s="77"/>
      <c r="AF49" s="74" t="s">
        <v>87</v>
      </c>
      <c r="AG49" s="74" t="s">
        <v>86</v>
      </c>
      <c r="AH49" t="s">
        <v>17</v>
      </c>
      <c r="AI49" t="str">
        <f t="shared" si="2"/>
        <v>WBH BALI</v>
      </c>
    </row>
    <row r="50" spans="1:35" ht="21" customHeight="1" x14ac:dyDescent="0.35">
      <c r="A50" s="78">
        <v>22</v>
      </c>
      <c r="B50" s="66">
        <f t="shared" si="1"/>
        <v>0</v>
      </c>
      <c r="C50" s="63">
        <f t="shared" si="0"/>
        <v>0</v>
      </c>
      <c r="G50" s="21"/>
      <c r="H50" s="21"/>
      <c r="I50" s="21"/>
      <c r="J50" s="21"/>
      <c r="K50" s="6"/>
      <c r="O50" s="6"/>
      <c r="S50" s="3"/>
      <c r="W50" s="3"/>
      <c r="AE50" s="77">
        <v>22</v>
      </c>
      <c r="AF50" s="38"/>
      <c r="AG50" s="38"/>
      <c r="AH50" t="s">
        <v>17</v>
      </c>
      <c r="AI50">
        <f t="shared" si="2"/>
        <v>0</v>
      </c>
    </row>
    <row r="51" spans="1:35" ht="21" customHeight="1" x14ac:dyDescent="0.35">
      <c r="A51" s="79"/>
      <c r="B51" s="67">
        <f t="shared" si="1"/>
        <v>0</v>
      </c>
      <c r="C51" s="65" t="str">
        <f t="shared" si="0"/>
        <v>Bye</v>
      </c>
      <c r="D51" s="16" t="s">
        <v>9</v>
      </c>
      <c r="E51" s="17">
        <f>E47+1</f>
        <v>11</v>
      </c>
      <c r="F51" s="17" t="s">
        <v>10</v>
      </c>
      <c r="G51" s="5"/>
      <c r="H51" s="21"/>
      <c r="I51" s="21"/>
      <c r="J51" s="21"/>
      <c r="K51" s="6"/>
      <c r="O51" s="6"/>
      <c r="S51" s="3"/>
      <c r="W51" s="3"/>
      <c r="AE51" s="77"/>
      <c r="AF51" s="38"/>
      <c r="AG51" s="38" t="s">
        <v>12</v>
      </c>
      <c r="AH51" t="s">
        <v>17</v>
      </c>
      <c r="AI51">
        <f t="shared" si="2"/>
        <v>0</v>
      </c>
    </row>
    <row r="52" spans="1:35" ht="21" customHeight="1" x14ac:dyDescent="0.35">
      <c r="A52" s="76">
        <v>23</v>
      </c>
      <c r="B52" s="66" t="str">
        <f t="shared" si="1"/>
        <v>Harfanas</v>
      </c>
      <c r="C52" s="61" t="str">
        <f t="shared" si="0"/>
        <v>Inzal</v>
      </c>
      <c r="G52" s="6"/>
      <c r="H52" s="24"/>
      <c r="I52" s="24"/>
      <c r="J52" s="24"/>
      <c r="K52" s="7"/>
      <c r="O52" s="6"/>
      <c r="S52" s="3"/>
      <c r="W52" s="3"/>
      <c r="AE52" s="77">
        <v>23</v>
      </c>
      <c r="AF52" s="74" t="s">
        <v>120</v>
      </c>
      <c r="AG52" s="74" t="s">
        <v>118</v>
      </c>
      <c r="AH52" t="s">
        <v>17</v>
      </c>
      <c r="AI52" t="str">
        <f t="shared" si="2"/>
        <v>Harfanas</v>
      </c>
    </row>
    <row r="53" spans="1:35" ht="21" customHeight="1" x14ac:dyDescent="0.35">
      <c r="A53" s="76"/>
      <c r="B53" s="67" t="str">
        <f t="shared" si="1"/>
        <v>Harfanas</v>
      </c>
      <c r="C53" s="61" t="str">
        <f t="shared" si="0"/>
        <v>Muhamad Ronys</v>
      </c>
      <c r="G53" s="6"/>
      <c r="H53" s="21" t="s">
        <v>9</v>
      </c>
      <c r="I53" s="21">
        <f>1+I45</f>
        <v>38</v>
      </c>
      <c r="J53" s="21" t="s">
        <v>10</v>
      </c>
      <c r="O53" s="6"/>
      <c r="S53" s="3"/>
      <c r="W53" s="3"/>
      <c r="AE53" s="77"/>
      <c r="AF53" s="74" t="s">
        <v>120</v>
      </c>
      <c r="AG53" s="74" t="s">
        <v>119</v>
      </c>
      <c r="AH53" t="s">
        <v>17</v>
      </c>
      <c r="AI53" t="str">
        <f t="shared" si="2"/>
        <v>Harfanas</v>
      </c>
    </row>
    <row r="54" spans="1:35" ht="21" customHeight="1" x14ac:dyDescent="0.35">
      <c r="A54" s="78">
        <v>24</v>
      </c>
      <c r="B54" s="66" t="str">
        <f t="shared" si="1"/>
        <v>PB Lammoro</v>
      </c>
      <c r="C54" s="63" t="str">
        <f t="shared" si="0"/>
        <v>Taufan Indriya Setiawan</v>
      </c>
      <c r="D54" s="9"/>
      <c r="E54" s="9"/>
      <c r="F54" s="9"/>
      <c r="G54" s="7"/>
      <c r="H54" s="21"/>
      <c r="I54" s="21"/>
      <c r="J54" s="21"/>
      <c r="O54" s="6"/>
      <c r="S54" s="3"/>
      <c r="W54" s="3"/>
      <c r="AE54" s="77">
        <v>24</v>
      </c>
      <c r="AF54" s="74" t="s">
        <v>123</v>
      </c>
      <c r="AG54" s="74" t="s">
        <v>121</v>
      </c>
      <c r="AH54" t="s">
        <v>17</v>
      </c>
      <c r="AI54" t="str">
        <f t="shared" si="2"/>
        <v>PB Lammoro</v>
      </c>
    </row>
    <row r="55" spans="1:35" ht="21" customHeight="1" x14ac:dyDescent="0.35">
      <c r="A55" s="79"/>
      <c r="B55" s="67" t="str">
        <f t="shared" si="1"/>
        <v>PB Lammoro</v>
      </c>
      <c r="C55" s="65" t="str">
        <f t="shared" si="0"/>
        <v>Albert S.payung</v>
      </c>
      <c r="D55" s="16" t="s">
        <v>9</v>
      </c>
      <c r="E55" s="17">
        <f>E51+1</f>
        <v>12</v>
      </c>
      <c r="F55" s="17" t="s">
        <v>10</v>
      </c>
      <c r="G55" s="21"/>
      <c r="H55" s="21"/>
      <c r="I55" s="21"/>
      <c r="J55" s="21"/>
      <c r="O55" s="6"/>
      <c r="S55" s="3"/>
      <c r="W55" s="3"/>
      <c r="AE55" s="77"/>
      <c r="AF55" s="74" t="s">
        <v>123</v>
      </c>
      <c r="AG55" s="74" t="s">
        <v>122</v>
      </c>
      <c r="AH55" t="s">
        <v>17</v>
      </c>
      <c r="AI55" t="str">
        <f t="shared" si="2"/>
        <v>PB Lammoro</v>
      </c>
    </row>
    <row r="56" spans="1:35" ht="21" customHeight="1" x14ac:dyDescent="0.35">
      <c r="A56" s="76">
        <v>25</v>
      </c>
      <c r="B56" s="66" t="str">
        <f t="shared" si="1"/>
        <v>PENGAIRAN</v>
      </c>
      <c r="C56" s="61" t="str">
        <f t="shared" si="0"/>
        <v>Tawabin (5/8)</v>
      </c>
      <c r="G56" s="21"/>
      <c r="H56" s="21"/>
      <c r="I56" s="21"/>
      <c r="J56" s="21"/>
      <c r="O56" s="6"/>
      <c r="P56" s="24"/>
      <c r="Q56" s="24"/>
      <c r="R56" s="24"/>
      <c r="S56" s="2"/>
      <c r="W56" s="3"/>
      <c r="AE56" s="77">
        <v>25</v>
      </c>
      <c r="AF56" s="74" t="s">
        <v>124</v>
      </c>
      <c r="AG56" s="74" t="s">
        <v>197</v>
      </c>
      <c r="AH56" t="s">
        <v>17</v>
      </c>
      <c r="AI56" t="str">
        <f t="shared" si="2"/>
        <v>PENGAIRAN</v>
      </c>
    </row>
    <row r="57" spans="1:35" ht="21" customHeight="1" x14ac:dyDescent="0.35">
      <c r="A57" s="76"/>
      <c r="B57" s="67" t="str">
        <f t="shared" si="1"/>
        <v>PENGAIRAN</v>
      </c>
      <c r="C57" s="61" t="str">
        <f t="shared" si="0"/>
        <v>Hamzah Hasan (5/8)</v>
      </c>
      <c r="G57" s="21"/>
      <c r="H57" s="21"/>
      <c r="I57" s="21"/>
      <c r="J57" s="21"/>
      <c r="O57" s="6"/>
      <c r="P57" s="18" t="s">
        <v>9</v>
      </c>
      <c r="Q57" s="23">
        <f>Q25+1</f>
        <v>58</v>
      </c>
      <c r="R57" s="23" t="s">
        <v>10</v>
      </c>
      <c r="W57" s="3"/>
      <c r="AE57" s="77"/>
      <c r="AF57" s="74" t="s">
        <v>124</v>
      </c>
      <c r="AG57" s="74" t="s">
        <v>198</v>
      </c>
      <c r="AH57" t="s">
        <v>17</v>
      </c>
      <c r="AI57" t="str">
        <f t="shared" si="2"/>
        <v>PENGAIRAN</v>
      </c>
    </row>
    <row r="58" spans="1:35" ht="21" customHeight="1" x14ac:dyDescent="0.35">
      <c r="A58" s="78">
        <v>26</v>
      </c>
      <c r="B58" s="66">
        <f t="shared" si="1"/>
        <v>0</v>
      </c>
      <c r="C58" s="63">
        <f t="shared" si="0"/>
        <v>0</v>
      </c>
      <c r="G58" s="21"/>
      <c r="H58" s="21"/>
      <c r="I58" s="21"/>
      <c r="J58" s="21"/>
      <c r="O58" s="6"/>
      <c r="W58" s="3"/>
      <c r="AE58" s="77">
        <v>26</v>
      </c>
      <c r="AF58" s="38"/>
      <c r="AG58" s="38"/>
      <c r="AH58" t="s">
        <v>17</v>
      </c>
      <c r="AI58">
        <f t="shared" si="2"/>
        <v>0</v>
      </c>
    </row>
    <row r="59" spans="1:35" ht="21" customHeight="1" x14ac:dyDescent="0.35">
      <c r="A59" s="79"/>
      <c r="B59" s="67">
        <f t="shared" si="1"/>
        <v>0</v>
      </c>
      <c r="C59" s="65" t="str">
        <f t="shared" si="0"/>
        <v>Bye</v>
      </c>
      <c r="D59" s="16" t="s">
        <v>9</v>
      </c>
      <c r="E59" s="17">
        <f>E55+1</f>
        <v>13</v>
      </c>
      <c r="F59" s="17" t="s">
        <v>10</v>
      </c>
      <c r="G59" s="5"/>
      <c r="H59" s="21"/>
      <c r="I59" s="21"/>
      <c r="J59" s="21"/>
      <c r="O59" s="6"/>
      <c r="W59" s="3"/>
      <c r="AE59" s="77"/>
      <c r="AF59" s="38"/>
      <c r="AG59" s="38" t="s">
        <v>12</v>
      </c>
      <c r="AH59" t="s">
        <v>17</v>
      </c>
      <c r="AI59">
        <f t="shared" si="2"/>
        <v>0</v>
      </c>
    </row>
    <row r="60" spans="1:35" ht="21" customHeight="1" x14ac:dyDescent="0.35">
      <c r="A60" s="76">
        <v>27</v>
      </c>
      <c r="B60" s="66" t="str">
        <f t="shared" si="1"/>
        <v>Pb daha</v>
      </c>
      <c r="C60" s="61" t="str">
        <f t="shared" si="0"/>
        <v>Agung Tri Wardoyo</v>
      </c>
      <c r="G60" s="6"/>
      <c r="H60" s="21"/>
      <c r="I60" s="21"/>
      <c r="J60" s="21"/>
      <c r="O60" s="6"/>
      <c r="W60" s="3"/>
      <c r="AE60" s="77">
        <v>27</v>
      </c>
      <c r="AF60" s="74" t="s">
        <v>127</v>
      </c>
      <c r="AG60" s="74" t="s">
        <v>125</v>
      </c>
      <c r="AH60" t="s">
        <v>17</v>
      </c>
      <c r="AI60" t="str">
        <f t="shared" si="2"/>
        <v>Pb daha</v>
      </c>
    </row>
    <row r="61" spans="1:35" ht="21" customHeight="1" x14ac:dyDescent="0.35">
      <c r="A61" s="76"/>
      <c r="B61" s="67" t="str">
        <f t="shared" si="1"/>
        <v>Pb daha</v>
      </c>
      <c r="C61" s="61" t="str">
        <f t="shared" si="0"/>
        <v>Santoso</v>
      </c>
      <c r="G61" s="6"/>
      <c r="H61" s="8" t="s">
        <v>9</v>
      </c>
      <c r="I61" s="8">
        <f>1+I53</f>
        <v>39</v>
      </c>
      <c r="J61" s="8" t="s">
        <v>10</v>
      </c>
      <c r="K61" s="5"/>
      <c r="O61" s="6"/>
      <c r="W61" s="3"/>
      <c r="AE61" s="77"/>
      <c r="AF61" s="74" t="s">
        <v>127</v>
      </c>
      <c r="AG61" s="74" t="s">
        <v>126</v>
      </c>
      <c r="AH61" t="s">
        <v>17</v>
      </c>
      <c r="AI61" t="str">
        <f t="shared" si="2"/>
        <v>Pb daha</v>
      </c>
    </row>
    <row r="62" spans="1:35" ht="21" customHeight="1" x14ac:dyDescent="0.35">
      <c r="A62" s="78">
        <v>28</v>
      </c>
      <c r="B62" s="66">
        <f t="shared" si="1"/>
        <v>0</v>
      </c>
      <c r="C62" s="63">
        <f t="shared" si="0"/>
        <v>0</v>
      </c>
      <c r="D62" s="9"/>
      <c r="E62" s="9"/>
      <c r="F62" s="9"/>
      <c r="G62" s="7"/>
      <c r="K62" s="6"/>
      <c r="O62" s="6"/>
      <c r="W62" s="3"/>
      <c r="AE62" s="77">
        <v>28</v>
      </c>
      <c r="AF62" s="38"/>
      <c r="AG62" s="38"/>
      <c r="AH62" t="s">
        <v>17</v>
      </c>
      <c r="AI62">
        <f t="shared" si="2"/>
        <v>0</v>
      </c>
    </row>
    <row r="63" spans="1:35" ht="21" customHeight="1" x14ac:dyDescent="0.35">
      <c r="A63" s="79"/>
      <c r="B63" s="67">
        <f t="shared" si="1"/>
        <v>0</v>
      </c>
      <c r="C63" s="65" t="str">
        <f t="shared" si="0"/>
        <v>Bye</v>
      </c>
      <c r="D63" s="16" t="s">
        <v>9</v>
      </c>
      <c r="E63" s="17">
        <f>E59+1</f>
        <v>14</v>
      </c>
      <c r="F63" s="17" t="s">
        <v>10</v>
      </c>
      <c r="G63" s="21"/>
      <c r="H63" s="21"/>
      <c r="I63" s="21"/>
      <c r="J63" s="21"/>
      <c r="K63" s="6"/>
      <c r="O63" s="6"/>
      <c r="W63" s="3"/>
      <c r="AE63" s="77"/>
      <c r="AF63" s="38"/>
      <c r="AG63" s="38" t="s">
        <v>12</v>
      </c>
      <c r="AH63" t="s">
        <v>17</v>
      </c>
      <c r="AI63">
        <f t="shared" si="2"/>
        <v>0</v>
      </c>
    </row>
    <row r="64" spans="1:35" ht="21" customHeight="1" x14ac:dyDescent="0.35">
      <c r="A64" s="76">
        <v>29</v>
      </c>
      <c r="B64" s="66" t="str">
        <f t="shared" si="1"/>
        <v>Pb. Terumbu</v>
      </c>
      <c r="C64" s="61" t="str">
        <f t="shared" si="0"/>
        <v>Muhajir</v>
      </c>
      <c r="G64" s="21"/>
      <c r="K64" s="6"/>
      <c r="L64" s="24"/>
      <c r="M64" s="24"/>
      <c r="N64" s="24"/>
      <c r="O64" s="7"/>
      <c r="W64" s="3"/>
      <c r="AE64" s="77">
        <v>29</v>
      </c>
      <c r="AF64" s="74" t="s">
        <v>130</v>
      </c>
      <c r="AG64" s="74" t="s">
        <v>128</v>
      </c>
      <c r="AH64" t="s">
        <v>17</v>
      </c>
      <c r="AI64" t="str">
        <f t="shared" si="2"/>
        <v>Pb. Terumbu</v>
      </c>
    </row>
    <row r="65" spans="1:35" ht="21" customHeight="1" x14ac:dyDescent="0.35">
      <c r="A65" s="76"/>
      <c r="B65" s="67" t="str">
        <f t="shared" si="1"/>
        <v>Pb. Terumbu</v>
      </c>
      <c r="C65" s="61" t="str">
        <f t="shared" si="0"/>
        <v>Ainul Haq</v>
      </c>
      <c r="G65" s="21"/>
      <c r="K65" s="6"/>
      <c r="L65" s="18" t="s">
        <v>9</v>
      </c>
      <c r="M65" s="23">
        <f>1+M49</f>
        <v>52</v>
      </c>
      <c r="N65" s="23" t="s">
        <v>10</v>
      </c>
      <c r="W65" s="3"/>
      <c r="AE65" s="77"/>
      <c r="AF65" s="74" t="s">
        <v>130</v>
      </c>
      <c r="AG65" s="74" t="s">
        <v>129</v>
      </c>
      <c r="AH65" t="s">
        <v>17</v>
      </c>
      <c r="AI65" t="str">
        <f t="shared" si="2"/>
        <v>Pb. Terumbu</v>
      </c>
    </row>
    <row r="66" spans="1:35" ht="21" customHeight="1" x14ac:dyDescent="0.35">
      <c r="A66" s="78">
        <v>30</v>
      </c>
      <c r="B66" s="66" t="str">
        <f t="shared" si="1"/>
        <v>BAYAN</v>
      </c>
      <c r="C66" s="63" t="str">
        <f t="shared" si="0"/>
        <v>Rusliansyah</v>
      </c>
      <c r="D66" s="29"/>
      <c r="E66" s="29"/>
      <c r="G66" s="21"/>
      <c r="H66" s="21"/>
      <c r="I66" s="21"/>
      <c r="J66" s="21"/>
      <c r="K66" s="6"/>
      <c r="W66" s="3"/>
      <c r="AE66" s="77">
        <v>30</v>
      </c>
      <c r="AF66" s="74" t="s">
        <v>45</v>
      </c>
      <c r="AG66" s="74" t="s">
        <v>131</v>
      </c>
      <c r="AH66" t="s">
        <v>17</v>
      </c>
      <c r="AI66" t="str">
        <f t="shared" si="2"/>
        <v>BAYAN</v>
      </c>
    </row>
    <row r="67" spans="1:35" ht="21" customHeight="1" x14ac:dyDescent="0.35">
      <c r="A67" s="79"/>
      <c r="B67" s="67" t="str">
        <f t="shared" si="1"/>
        <v>BAYAN</v>
      </c>
      <c r="C67" s="65" t="str">
        <f t="shared" si="0"/>
        <v>Wahib Al Juhri</v>
      </c>
      <c r="D67" s="40" t="s">
        <v>9</v>
      </c>
      <c r="E67" s="41">
        <f>E63+1</f>
        <v>15</v>
      </c>
      <c r="F67" s="17" t="s">
        <v>10</v>
      </c>
      <c r="G67" s="5"/>
      <c r="H67" s="21"/>
      <c r="I67" s="21"/>
      <c r="J67" s="21"/>
      <c r="K67" s="6"/>
      <c r="W67" s="3"/>
      <c r="AE67" s="77"/>
      <c r="AF67" s="74" t="s">
        <v>45</v>
      </c>
      <c r="AG67" s="74" t="s">
        <v>132</v>
      </c>
      <c r="AH67" t="s">
        <v>17</v>
      </c>
      <c r="AI67" t="str">
        <f t="shared" si="2"/>
        <v>BAYAN</v>
      </c>
    </row>
    <row r="68" spans="1:35" ht="21" customHeight="1" x14ac:dyDescent="0.35">
      <c r="A68" s="76">
        <v>31</v>
      </c>
      <c r="B68" s="66" t="str">
        <f t="shared" si="1"/>
        <v>PB KINDOM MAKASSAR</v>
      </c>
      <c r="C68" s="61" t="str">
        <f t="shared" si="0"/>
        <v>Arifuddin</v>
      </c>
      <c r="D68" s="29"/>
      <c r="E68" s="29"/>
      <c r="G68" s="6"/>
      <c r="H68" s="24"/>
      <c r="I68" s="24"/>
      <c r="J68" s="24"/>
      <c r="K68" s="7"/>
      <c r="W68" s="3"/>
      <c r="AE68" s="77">
        <v>31</v>
      </c>
      <c r="AF68" s="74" t="s">
        <v>133</v>
      </c>
      <c r="AG68" s="74" t="s">
        <v>134</v>
      </c>
      <c r="AH68" t="s">
        <v>17</v>
      </c>
      <c r="AI68" t="str">
        <f t="shared" si="2"/>
        <v>PB KINDOM MAKASSAR</v>
      </c>
    </row>
    <row r="69" spans="1:35" ht="21" customHeight="1" x14ac:dyDescent="0.35">
      <c r="A69" s="76"/>
      <c r="B69" s="67" t="str">
        <f t="shared" si="1"/>
        <v>PB KINDOM MAKASSAR</v>
      </c>
      <c r="C69" s="61" t="str">
        <f t="shared" si="0"/>
        <v>Yakober Mendila, St Me</v>
      </c>
      <c r="D69" s="29"/>
      <c r="E69" s="29"/>
      <c r="G69" s="6"/>
      <c r="H69" s="21" t="s">
        <v>9</v>
      </c>
      <c r="I69" s="21">
        <f>1+I61</f>
        <v>40</v>
      </c>
      <c r="J69" s="21" t="s">
        <v>10</v>
      </c>
      <c r="W69" s="3"/>
      <c r="AE69" s="77"/>
      <c r="AF69" s="74" t="s">
        <v>133</v>
      </c>
      <c r="AG69" s="74" t="s">
        <v>135</v>
      </c>
      <c r="AH69" t="s">
        <v>17</v>
      </c>
      <c r="AI69" t="str">
        <f t="shared" si="2"/>
        <v>PB KINDOM MAKASSAR</v>
      </c>
    </row>
    <row r="70" spans="1:35" ht="21" customHeight="1" x14ac:dyDescent="0.35">
      <c r="A70" s="78">
        <v>32</v>
      </c>
      <c r="B70" s="66" t="str">
        <f t="shared" si="1"/>
        <v>PB Karunia Primatama Group</v>
      </c>
      <c r="C70" s="63" t="str">
        <f t="shared" si="0"/>
        <v>Muhammad</v>
      </c>
      <c r="D70" s="42"/>
      <c r="E70" s="42"/>
      <c r="F70" s="9"/>
      <c r="G70" s="7"/>
      <c r="H70" s="21"/>
      <c r="I70" s="21"/>
      <c r="J70" s="21"/>
      <c r="W70" s="3"/>
      <c r="AE70" s="77">
        <v>32</v>
      </c>
      <c r="AF70" s="74" t="s">
        <v>60</v>
      </c>
      <c r="AG70" s="74" t="s">
        <v>136</v>
      </c>
      <c r="AH70" t="s">
        <v>17</v>
      </c>
      <c r="AI70" t="str">
        <f t="shared" si="2"/>
        <v>PB Karunia Primatama Group</v>
      </c>
    </row>
    <row r="71" spans="1:35" ht="21" customHeight="1" x14ac:dyDescent="0.35">
      <c r="A71" s="79"/>
      <c r="B71" s="67" t="str">
        <f t="shared" si="1"/>
        <v>PB Karunia Primatama Group</v>
      </c>
      <c r="C71" s="65" t="str">
        <f t="shared" si="0"/>
        <v>Rudianto</v>
      </c>
      <c r="D71" s="40" t="s">
        <v>9</v>
      </c>
      <c r="E71" s="41">
        <f>E67+1</f>
        <v>16</v>
      </c>
      <c r="F71" s="17" t="s">
        <v>10</v>
      </c>
      <c r="G71" s="21"/>
      <c r="H71" s="21"/>
      <c r="I71" s="21"/>
      <c r="J71" s="21"/>
      <c r="W71" s="3"/>
      <c r="AE71" s="77"/>
      <c r="AF71" s="74" t="s">
        <v>60</v>
      </c>
      <c r="AG71" s="74" t="s">
        <v>137</v>
      </c>
      <c r="AH71" t="s">
        <v>17</v>
      </c>
      <c r="AI71" t="str">
        <f t="shared" si="2"/>
        <v>PB Karunia Primatama Group</v>
      </c>
    </row>
    <row r="72" spans="1:35" ht="21" customHeight="1" x14ac:dyDescent="0.35">
      <c r="A72" s="76">
        <v>33</v>
      </c>
      <c r="B72" s="68" t="str">
        <f>IFERROR(AF72,0)</f>
        <v>Swadaya Badminton Club</v>
      </c>
      <c r="C72" s="61" t="str">
        <f>IFERROR(AG72,0)</f>
        <v>D.jumagianto</v>
      </c>
      <c r="X72" s="9"/>
      <c r="Y72" s="9"/>
      <c r="Z72" s="9"/>
      <c r="AA72" s="9"/>
      <c r="AE72" s="77">
        <v>33</v>
      </c>
      <c r="AF72" s="74" t="s">
        <v>138</v>
      </c>
      <c r="AG72" s="74" t="s">
        <v>139</v>
      </c>
      <c r="AH72" t="s">
        <v>17</v>
      </c>
      <c r="AI72" t="str">
        <f t="shared" si="2"/>
        <v>Swadaya Badminton Club</v>
      </c>
    </row>
    <row r="73" spans="1:35" ht="21" customHeight="1" x14ac:dyDescent="0.35">
      <c r="A73" s="76"/>
      <c r="B73" s="68" t="str">
        <f>IFERROR(AF73,0)</f>
        <v>Swadaya Badminton Club</v>
      </c>
      <c r="C73" s="61" t="str">
        <f t="shared" ref="C73:C135" si="3">IFERROR(AG73,0)</f>
        <v>Muhammad Nur</v>
      </c>
      <c r="W73" s="3"/>
      <c r="X73" s="18" t="s">
        <v>9</v>
      </c>
      <c r="Y73" s="23">
        <f>1+U105</f>
        <v>63</v>
      </c>
      <c r="Z73" s="23" t="s">
        <v>10</v>
      </c>
      <c r="AA73" s="8"/>
      <c r="AE73" s="77"/>
      <c r="AF73" s="74" t="s">
        <v>138</v>
      </c>
      <c r="AG73" s="74" t="s">
        <v>140</v>
      </c>
      <c r="AH73" t="s">
        <v>17</v>
      </c>
      <c r="AI73" t="str">
        <f t="shared" si="2"/>
        <v>Swadaya Badminton Club</v>
      </c>
    </row>
    <row r="74" spans="1:35" ht="21" customHeight="1" x14ac:dyDescent="0.35">
      <c r="A74" s="78">
        <v>34</v>
      </c>
      <c r="B74" s="66" t="str">
        <f t="shared" ref="B74:B135" si="4">IFERROR(AF74,0)</f>
        <v>PB AA</v>
      </c>
      <c r="C74" s="63" t="str">
        <f t="shared" si="3"/>
        <v>Yanto</v>
      </c>
      <c r="W74" s="3"/>
      <c r="AE74" s="77">
        <v>34</v>
      </c>
      <c r="AF74" s="74" t="s">
        <v>88</v>
      </c>
      <c r="AG74" s="74" t="s">
        <v>89</v>
      </c>
      <c r="AH74" t="s">
        <v>17</v>
      </c>
      <c r="AI74" t="str">
        <f t="shared" ref="AI74:AI135" si="5">AF74</f>
        <v>PB AA</v>
      </c>
    </row>
    <row r="75" spans="1:35" ht="21" customHeight="1" x14ac:dyDescent="0.35">
      <c r="A75" s="79"/>
      <c r="B75" s="67" t="str">
        <f t="shared" si="4"/>
        <v>PB AA</v>
      </c>
      <c r="C75" s="65" t="str">
        <f t="shared" si="3"/>
        <v>Hadi Hariyanto</v>
      </c>
      <c r="D75" s="16" t="s">
        <v>9</v>
      </c>
      <c r="E75" s="17">
        <f>E71+1</f>
        <v>17</v>
      </c>
      <c r="F75" s="17" t="s">
        <v>10</v>
      </c>
      <c r="G75" s="5"/>
      <c r="H75" s="21"/>
      <c r="I75" s="21"/>
      <c r="J75" s="21"/>
      <c r="W75" s="3"/>
      <c r="AE75" s="77"/>
      <c r="AF75" s="74" t="s">
        <v>88</v>
      </c>
      <c r="AG75" s="74" t="s">
        <v>90</v>
      </c>
      <c r="AH75" t="s">
        <v>17</v>
      </c>
      <c r="AI75" t="str">
        <f t="shared" si="5"/>
        <v>PB AA</v>
      </c>
    </row>
    <row r="76" spans="1:35" ht="21" customHeight="1" x14ac:dyDescent="0.35">
      <c r="A76" s="76">
        <v>35</v>
      </c>
      <c r="B76" s="66" t="str">
        <f t="shared" si="4"/>
        <v>PB Tiger</v>
      </c>
      <c r="C76" s="61" t="str">
        <f t="shared" si="3"/>
        <v>Ely Sasmoko</v>
      </c>
      <c r="G76" s="3"/>
      <c r="W76" s="3"/>
      <c r="AE76" s="77">
        <v>35</v>
      </c>
      <c r="AF76" s="74" t="s">
        <v>141</v>
      </c>
      <c r="AG76" s="74" t="s">
        <v>142</v>
      </c>
      <c r="AH76" t="s">
        <v>17</v>
      </c>
      <c r="AI76" t="str">
        <f t="shared" si="5"/>
        <v>PB Tiger</v>
      </c>
    </row>
    <row r="77" spans="1:35" ht="21" customHeight="1" x14ac:dyDescent="0.35">
      <c r="A77" s="76"/>
      <c r="B77" s="67" t="str">
        <f t="shared" si="4"/>
        <v>PB Tiger</v>
      </c>
      <c r="C77" s="61" t="str">
        <f t="shared" si="3"/>
        <v>Rika Susanto</v>
      </c>
      <c r="G77" s="3"/>
      <c r="H77" s="18" t="s">
        <v>9</v>
      </c>
      <c r="I77" s="23">
        <f>1+I69</f>
        <v>41</v>
      </c>
      <c r="J77" s="23" t="s">
        <v>10</v>
      </c>
      <c r="K77" s="5"/>
      <c r="W77" s="3"/>
      <c r="AE77" s="77"/>
      <c r="AF77" s="74" t="s">
        <v>141</v>
      </c>
      <c r="AG77" s="74" t="s">
        <v>143</v>
      </c>
      <c r="AH77" t="s">
        <v>17</v>
      </c>
      <c r="AI77" t="str">
        <f t="shared" si="5"/>
        <v>PB Tiger</v>
      </c>
    </row>
    <row r="78" spans="1:35" ht="21" customHeight="1" x14ac:dyDescent="0.35">
      <c r="A78" s="78">
        <v>36</v>
      </c>
      <c r="B78" s="66" t="str">
        <f t="shared" si="4"/>
        <v>Pb. Terumbu</v>
      </c>
      <c r="C78" s="63" t="str">
        <f t="shared" si="3"/>
        <v>Didik Sumargono</v>
      </c>
      <c r="D78" s="9"/>
      <c r="E78" s="9"/>
      <c r="F78" s="9"/>
      <c r="G78" s="2"/>
      <c r="K78" s="6"/>
      <c r="W78" s="3"/>
      <c r="AE78" s="77">
        <v>36</v>
      </c>
      <c r="AF78" s="74" t="s">
        <v>130</v>
      </c>
      <c r="AG78" s="74" t="s">
        <v>144</v>
      </c>
      <c r="AH78" t="s">
        <v>17</v>
      </c>
      <c r="AI78" t="str">
        <f t="shared" si="5"/>
        <v>Pb. Terumbu</v>
      </c>
    </row>
    <row r="79" spans="1:35" ht="21" customHeight="1" x14ac:dyDescent="0.35">
      <c r="A79" s="79"/>
      <c r="B79" s="67" t="str">
        <f t="shared" si="4"/>
        <v>Pb. Terumbu</v>
      </c>
      <c r="C79" s="65" t="str">
        <f t="shared" si="3"/>
        <v>Hadi Supratiknyo</v>
      </c>
      <c r="D79" s="16" t="s">
        <v>9</v>
      </c>
      <c r="E79" s="17">
        <f>E75+1</f>
        <v>18</v>
      </c>
      <c r="F79" s="17" t="s">
        <v>10</v>
      </c>
      <c r="G79" s="21"/>
      <c r="H79" s="21"/>
      <c r="I79" s="21"/>
      <c r="J79" s="21"/>
      <c r="K79" s="6"/>
      <c r="W79" s="3"/>
      <c r="AE79" s="77"/>
      <c r="AF79" s="74" t="s">
        <v>130</v>
      </c>
      <c r="AG79" s="74" t="s">
        <v>145</v>
      </c>
      <c r="AH79" t="s">
        <v>17</v>
      </c>
      <c r="AI79" t="str">
        <f t="shared" si="5"/>
        <v>Pb. Terumbu</v>
      </c>
    </row>
    <row r="80" spans="1:35" ht="21" customHeight="1" x14ac:dyDescent="0.35">
      <c r="A80" s="76">
        <v>37</v>
      </c>
      <c r="B80" s="66">
        <f t="shared" si="4"/>
        <v>0</v>
      </c>
      <c r="C80" s="61">
        <f t="shared" si="3"/>
        <v>0</v>
      </c>
      <c r="K80" s="6"/>
      <c r="W80" s="3"/>
      <c r="AE80" s="77">
        <v>37</v>
      </c>
      <c r="AF80" s="38"/>
      <c r="AG80" s="38"/>
      <c r="AH80" t="s">
        <v>17</v>
      </c>
      <c r="AI80">
        <f t="shared" si="5"/>
        <v>0</v>
      </c>
    </row>
    <row r="81" spans="1:35" ht="21" customHeight="1" x14ac:dyDescent="0.35">
      <c r="A81" s="76"/>
      <c r="B81" s="67">
        <f t="shared" si="4"/>
        <v>0</v>
      </c>
      <c r="C81" s="61" t="str">
        <f t="shared" si="3"/>
        <v>Bye</v>
      </c>
      <c r="K81" s="6"/>
      <c r="L81" s="18" t="s">
        <v>9</v>
      </c>
      <c r="M81" s="23">
        <f>1+M65</f>
        <v>53</v>
      </c>
      <c r="N81" s="23" t="s">
        <v>10</v>
      </c>
      <c r="O81" s="5"/>
      <c r="W81" s="3"/>
      <c r="AE81" s="77"/>
      <c r="AF81" s="38"/>
      <c r="AG81" s="38" t="s">
        <v>12</v>
      </c>
      <c r="AH81" t="s">
        <v>17</v>
      </c>
      <c r="AI81">
        <f t="shared" si="5"/>
        <v>0</v>
      </c>
    </row>
    <row r="82" spans="1:35" ht="21" customHeight="1" x14ac:dyDescent="0.35">
      <c r="A82" s="78">
        <v>38</v>
      </c>
      <c r="B82" s="66" t="str">
        <f t="shared" si="4"/>
        <v>PB GBC</v>
      </c>
      <c r="C82" s="63" t="str">
        <f t="shared" si="3"/>
        <v>Steven Songgigilan</v>
      </c>
      <c r="G82" s="21"/>
      <c r="H82" s="21"/>
      <c r="I82" s="21"/>
      <c r="J82" s="21"/>
      <c r="K82" s="6"/>
      <c r="O82" s="6"/>
      <c r="W82" s="3"/>
      <c r="AE82" s="77">
        <v>38</v>
      </c>
      <c r="AF82" s="74" t="s">
        <v>148</v>
      </c>
      <c r="AG82" s="74" t="s">
        <v>146</v>
      </c>
      <c r="AH82" t="s">
        <v>17</v>
      </c>
      <c r="AI82" t="str">
        <f t="shared" si="5"/>
        <v>PB GBC</v>
      </c>
    </row>
    <row r="83" spans="1:35" ht="21" customHeight="1" x14ac:dyDescent="0.35">
      <c r="A83" s="79"/>
      <c r="B83" s="67" t="str">
        <f t="shared" si="4"/>
        <v>PB GBC</v>
      </c>
      <c r="C83" s="65" t="str">
        <f t="shared" si="3"/>
        <v>Sudaryono</v>
      </c>
      <c r="D83" s="16" t="s">
        <v>9</v>
      </c>
      <c r="E83" s="17">
        <f>E79+1</f>
        <v>19</v>
      </c>
      <c r="F83" s="17" t="s">
        <v>10</v>
      </c>
      <c r="G83" s="5"/>
      <c r="H83" s="21"/>
      <c r="I83" s="21"/>
      <c r="J83" s="21"/>
      <c r="K83" s="6"/>
      <c r="O83" s="6"/>
      <c r="W83" s="3"/>
      <c r="AE83" s="77"/>
      <c r="AF83" s="74" t="s">
        <v>148</v>
      </c>
      <c r="AG83" s="74" t="s">
        <v>147</v>
      </c>
      <c r="AH83" t="s">
        <v>17</v>
      </c>
      <c r="AI83" t="str">
        <f t="shared" si="5"/>
        <v>PB GBC</v>
      </c>
    </row>
    <row r="84" spans="1:35" ht="21" customHeight="1" x14ac:dyDescent="0.35">
      <c r="A84" s="76">
        <v>39</v>
      </c>
      <c r="B84" s="66">
        <f t="shared" si="4"/>
        <v>0</v>
      </c>
      <c r="C84" s="61">
        <f t="shared" si="3"/>
        <v>0</v>
      </c>
      <c r="G84" s="6"/>
      <c r="H84" s="24"/>
      <c r="I84" s="24"/>
      <c r="J84" s="24"/>
      <c r="K84" s="7"/>
      <c r="O84" s="6"/>
      <c r="W84" s="3"/>
      <c r="AE84" s="77">
        <v>39</v>
      </c>
      <c r="AF84" s="38"/>
      <c r="AG84" s="38"/>
      <c r="AH84" t="s">
        <v>17</v>
      </c>
      <c r="AI84">
        <f t="shared" si="5"/>
        <v>0</v>
      </c>
    </row>
    <row r="85" spans="1:35" ht="21" customHeight="1" x14ac:dyDescent="0.35">
      <c r="A85" s="76"/>
      <c r="B85" s="67">
        <f t="shared" si="4"/>
        <v>0</v>
      </c>
      <c r="C85" s="61" t="str">
        <f t="shared" si="3"/>
        <v>Bye</v>
      </c>
      <c r="G85" s="6"/>
      <c r="H85" s="21" t="s">
        <v>9</v>
      </c>
      <c r="I85" s="21">
        <f>1+I77</f>
        <v>42</v>
      </c>
      <c r="J85" s="21" t="s">
        <v>10</v>
      </c>
      <c r="O85" s="6"/>
      <c r="W85" s="3"/>
      <c r="AE85" s="77"/>
      <c r="AF85" s="38"/>
      <c r="AG85" s="38" t="s">
        <v>12</v>
      </c>
      <c r="AH85" t="s">
        <v>17</v>
      </c>
      <c r="AI85">
        <f t="shared" si="5"/>
        <v>0</v>
      </c>
    </row>
    <row r="86" spans="1:35" ht="21" customHeight="1" x14ac:dyDescent="0.35">
      <c r="A86" s="78">
        <v>40</v>
      </c>
      <c r="B86" s="66" t="str">
        <f t="shared" si="4"/>
        <v>BAYAN</v>
      </c>
      <c r="C86" s="63" t="str">
        <f t="shared" si="3"/>
        <v>Supardi Abdullah (5/8)</v>
      </c>
      <c r="D86" s="9"/>
      <c r="E86" s="9"/>
      <c r="F86" s="9"/>
      <c r="G86" s="7"/>
      <c r="H86" s="21"/>
      <c r="I86" s="21"/>
      <c r="J86" s="21"/>
      <c r="O86" s="6"/>
      <c r="W86" s="3"/>
      <c r="AE86" s="77">
        <v>40</v>
      </c>
      <c r="AF86" s="74" t="s">
        <v>45</v>
      </c>
      <c r="AG86" s="74" t="s">
        <v>149</v>
      </c>
      <c r="AH86" t="s">
        <v>17</v>
      </c>
      <c r="AI86" t="str">
        <f t="shared" si="5"/>
        <v>BAYAN</v>
      </c>
    </row>
    <row r="87" spans="1:35" ht="21" customHeight="1" x14ac:dyDescent="0.35">
      <c r="A87" s="79"/>
      <c r="B87" s="67" t="str">
        <f t="shared" si="4"/>
        <v>BAYAN</v>
      </c>
      <c r="C87" s="65" t="str">
        <f t="shared" si="3"/>
        <v>Sofyar Sandi Mansyur (5/8)</v>
      </c>
      <c r="D87" s="16" t="s">
        <v>9</v>
      </c>
      <c r="E87" s="17">
        <f>E83+1</f>
        <v>20</v>
      </c>
      <c r="F87" s="17" t="s">
        <v>10</v>
      </c>
      <c r="G87" s="21"/>
      <c r="H87" s="21"/>
      <c r="I87" s="21"/>
      <c r="J87" s="21"/>
      <c r="O87" s="6"/>
      <c r="W87" s="3"/>
      <c r="AE87" s="77"/>
      <c r="AF87" s="74" t="s">
        <v>45</v>
      </c>
      <c r="AG87" s="74" t="s">
        <v>150</v>
      </c>
      <c r="AH87" t="s">
        <v>17</v>
      </c>
      <c r="AI87" t="str">
        <f t="shared" si="5"/>
        <v>BAYAN</v>
      </c>
    </row>
    <row r="88" spans="1:35" ht="21" customHeight="1" x14ac:dyDescent="0.35">
      <c r="A88" s="76">
        <v>41</v>
      </c>
      <c r="B88" s="66" t="str">
        <f t="shared" si="4"/>
        <v>Pb daha</v>
      </c>
      <c r="C88" s="61" t="str">
        <f t="shared" si="3"/>
        <v>Akhmad Faturahman</v>
      </c>
      <c r="G88" s="21"/>
      <c r="H88" s="21"/>
      <c r="I88" s="21"/>
      <c r="J88" s="21"/>
      <c r="O88" s="6"/>
      <c r="W88" s="3"/>
      <c r="AE88" s="77">
        <v>41</v>
      </c>
      <c r="AF88" s="74" t="s">
        <v>127</v>
      </c>
      <c r="AG88" s="74" t="s">
        <v>151</v>
      </c>
      <c r="AH88" t="s">
        <v>17</v>
      </c>
      <c r="AI88" t="str">
        <f t="shared" si="5"/>
        <v>Pb daha</v>
      </c>
    </row>
    <row r="89" spans="1:35" ht="21" customHeight="1" x14ac:dyDescent="0.35">
      <c r="A89" s="76"/>
      <c r="B89" s="67" t="str">
        <f t="shared" si="4"/>
        <v>Pb daha</v>
      </c>
      <c r="C89" s="61" t="str">
        <f t="shared" si="3"/>
        <v>Eko Siswanto</v>
      </c>
      <c r="G89" s="21"/>
      <c r="H89" s="21"/>
      <c r="I89" s="21"/>
      <c r="J89" s="21"/>
      <c r="O89" s="6"/>
      <c r="P89" s="23" t="s">
        <v>9</v>
      </c>
      <c r="Q89" s="23">
        <f>Q57+1</f>
        <v>59</v>
      </c>
      <c r="R89" s="23" t="s">
        <v>10</v>
      </c>
      <c r="S89" s="1"/>
      <c r="W89" s="3"/>
      <c r="AE89" s="77"/>
      <c r="AF89" s="74" t="s">
        <v>127</v>
      </c>
      <c r="AG89" s="74" t="s">
        <v>152</v>
      </c>
      <c r="AH89" t="s">
        <v>17</v>
      </c>
      <c r="AI89" t="str">
        <f t="shared" si="5"/>
        <v>Pb daha</v>
      </c>
    </row>
    <row r="90" spans="1:35" ht="21" customHeight="1" x14ac:dyDescent="0.35">
      <c r="A90" s="78">
        <v>42</v>
      </c>
      <c r="B90" s="66" t="str">
        <f t="shared" si="4"/>
        <v>PB APRIO</v>
      </c>
      <c r="C90" s="63" t="str">
        <f t="shared" si="3"/>
        <v>Yusfiani</v>
      </c>
      <c r="G90" s="21"/>
      <c r="H90" s="21"/>
      <c r="I90" s="21"/>
      <c r="J90" s="21"/>
      <c r="O90" s="6"/>
      <c r="S90" s="3"/>
      <c r="W90" s="3"/>
      <c r="AE90" s="77">
        <v>42</v>
      </c>
      <c r="AF90" s="74" t="s">
        <v>153</v>
      </c>
      <c r="AG90" s="74" t="s">
        <v>154</v>
      </c>
      <c r="AH90" t="s">
        <v>17</v>
      </c>
      <c r="AI90" t="str">
        <f t="shared" si="5"/>
        <v>PB APRIO</v>
      </c>
    </row>
    <row r="91" spans="1:35" ht="21" customHeight="1" x14ac:dyDescent="0.35">
      <c r="A91" s="79"/>
      <c r="B91" s="67" t="str">
        <f t="shared" si="4"/>
        <v>PB APRIO</v>
      </c>
      <c r="C91" s="65" t="str">
        <f t="shared" si="3"/>
        <v>Misbah</v>
      </c>
      <c r="D91" s="16" t="s">
        <v>9</v>
      </c>
      <c r="E91" s="17">
        <f>E87+1</f>
        <v>21</v>
      </c>
      <c r="F91" s="17" t="s">
        <v>10</v>
      </c>
      <c r="G91" s="5"/>
      <c r="H91" s="21"/>
      <c r="I91" s="21"/>
      <c r="J91" s="21"/>
      <c r="O91" s="6"/>
      <c r="S91" s="3"/>
      <c r="W91" s="3"/>
      <c r="AE91" s="77"/>
      <c r="AF91" s="74" t="s">
        <v>153</v>
      </c>
      <c r="AG91" s="74" t="s">
        <v>155</v>
      </c>
      <c r="AH91" t="s">
        <v>17</v>
      </c>
      <c r="AI91" t="str">
        <f t="shared" si="5"/>
        <v>PB APRIO</v>
      </c>
    </row>
    <row r="92" spans="1:35" ht="21" customHeight="1" x14ac:dyDescent="0.35">
      <c r="A92" s="76">
        <v>43</v>
      </c>
      <c r="B92" s="66">
        <f t="shared" si="4"/>
        <v>0</v>
      </c>
      <c r="C92" s="61">
        <f t="shared" si="3"/>
        <v>0</v>
      </c>
      <c r="G92" s="6"/>
      <c r="H92" s="21"/>
      <c r="I92" s="21"/>
      <c r="J92" s="21"/>
      <c r="O92" s="6"/>
      <c r="S92" s="3"/>
      <c r="W92" s="3"/>
      <c r="AE92" s="77">
        <v>43</v>
      </c>
      <c r="AF92" s="38"/>
      <c r="AG92" s="38"/>
      <c r="AH92" t="s">
        <v>17</v>
      </c>
      <c r="AI92">
        <f t="shared" si="5"/>
        <v>0</v>
      </c>
    </row>
    <row r="93" spans="1:35" ht="21" customHeight="1" x14ac:dyDescent="0.35">
      <c r="A93" s="76"/>
      <c r="B93" s="67">
        <f t="shared" si="4"/>
        <v>0</v>
      </c>
      <c r="C93" s="61" t="str">
        <f t="shared" si="3"/>
        <v>Bye</v>
      </c>
      <c r="G93" s="6"/>
      <c r="H93" s="18" t="s">
        <v>9</v>
      </c>
      <c r="I93" s="23">
        <f>1+I85</f>
        <v>43</v>
      </c>
      <c r="J93" s="23" t="s">
        <v>10</v>
      </c>
      <c r="K93" s="5"/>
      <c r="O93" s="6"/>
      <c r="S93" s="3"/>
      <c r="W93" s="3"/>
      <c r="AE93" s="77"/>
      <c r="AF93" s="38"/>
      <c r="AG93" s="38" t="s">
        <v>12</v>
      </c>
      <c r="AH93" t="s">
        <v>17</v>
      </c>
      <c r="AI93">
        <f t="shared" si="5"/>
        <v>0</v>
      </c>
    </row>
    <row r="94" spans="1:35" ht="21" customHeight="1" x14ac:dyDescent="0.35">
      <c r="A94" s="78">
        <v>44</v>
      </c>
      <c r="B94" s="66" t="str">
        <f t="shared" si="4"/>
        <v>PB BERKAT JAYAPURA</v>
      </c>
      <c r="C94" s="63" t="str">
        <f t="shared" si="3"/>
        <v>Steven Hermanus</v>
      </c>
      <c r="D94" s="9"/>
      <c r="E94" s="9"/>
      <c r="F94" s="9"/>
      <c r="G94" s="7"/>
      <c r="K94" s="6"/>
      <c r="O94" s="6"/>
      <c r="S94" s="3"/>
      <c r="W94" s="3"/>
      <c r="AE94" s="77">
        <v>44</v>
      </c>
      <c r="AF94" s="74" t="s">
        <v>158</v>
      </c>
      <c r="AG94" s="74" t="s">
        <v>156</v>
      </c>
      <c r="AH94" t="s">
        <v>17</v>
      </c>
      <c r="AI94" t="str">
        <f t="shared" si="5"/>
        <v>PB BERKAT JAYAPURA</v>
      </c>
    </row>
    <row r="95" spans="1:35" ht="21" customHeight="1" x14ac:dyDescent="0.35">
      <c r="A95" s="79"/>
      <c r="B95" s="67" t="str">
        <f t="shared" si="4"/>
        <v>PB BERKAT JAYAPURA</v>
      </c>
      <c r="C95" s="65" t="str">
        <f t="shared" si="3"/>
        <v>Ruddy Bukanaung</v>
      </c>
      <c r="D95" s="16" t="s">
        <v>9</v>
      </c>
      <c r="E95" s="17">
        <f>E91+1</f>
        <v>22</v>
      </c>
      <c r="F95" s="17" t="s">
        <v>10</v>
      </c>
      <c r="G95" s="21"/>
      <c r="H95" s="21"/>
      <c r="I95" s="21"/>
      <c r="J95" s="21"/>
      <c r="K95" s="6"/>
      <c r="O95" s="6"/>
      <c r="S95" s="3"/>
      <c r="W95" s="3"/>
      <c r="AE95" s="77"/>
      <c r="AF95" s="74" t="s">
        <v>158</v>
      </c>
      <c r="AG95" s="74" t="s">
        <v>157</v>
      </c>
      <c r="AH95" t="s">
        <v>17</v>
      </c>
      <c r="AI95" t="str">
        <f t="shared" si="5"/>
        <v>PB BERKAT JAYAPURA</v>
      </c>
    </row>
    <row r="96" spans="1:35" ht="21" customHeight="1" x14ac:dyDescent="0.35">
      <c r="A96" s="76">
        <v>45</v>
      </c>
      <c r="B96" s="66">
        <f t="shared" si="4"/>
        <v>0</v>
      </c>
      <c r="C96" s="61">
        <f t="shared" si="3"/>
        <v>0</v>
      </c>
      <c r="G96" s="21"/>
      <c r="K96" s="6"/>
      <c r="L96" s="24"/>
      <c r="M96" s="24"/>
      <c r="N96" s="24"/>
      <c r="O96" s="7"/>
      <c r="S96" s="3"/>
      <c r="W96" s="3"/>
      <c r="AE96" s="77">
        <v>45</v>
      </c>
      <c r="AF96" s="38"/>
      <c r="AG96" s="38"/>
      <c r="AH96" t="s">
        <v>17</v>
      </c>
      <c r="AI96">
        <f t="shared" si="5"/>
        <v>0</v>
      </c>
    </row>
    <row r="97" spans="1:35" ht="21" customHeight="1" x14ac:dyDescent="0.35">
      <c r="A97" s="76"/>
      <c r="B97" s="67">
        <f t="shared" si="4"/>
        <v>0</v>
      </c>
      <c r="C97" s="61" t="str">
        <f t="shared" si="3"/>
        <v>Bye</v>
      </c>
      <c r="G97" s="21"/>
      <c r="K97" s="6"/>
      <c r="L97" s="18" t="s">
        <v>9</v>
      </c>
      <c r="M97" s="23">
        <f>1+M81</f>
        <v>54</v>
      </c>
      <c r="N97" s="23" t="s">
        <v>10</v>
      </c>
      <c r="S97" s="3"/>
      <c r="W97" s="3"/>
      <c r="AE97" s="77"/>
      <c r="AF97" s="38"/>
      <c r="AG97" s="38" t="s">
        <v>12</v>
      </c>
      <c r="AH97" t="s">
        <v>17</v>
      </c>
      <c r="AI97">
        <f t="shared" si="5"/>
        <v>0</v>
      </c>
    </row>
    <row r="98" spans="1:35" ht="21" customHeight="1" x14ac:dyDescent="0.35">
      <c r="A98" s="78">
        <v>46</v>
      </c>
      <c r="B98" s="66" t="str">
        <f t="shared" si="4"/>
        <v>Harfanas</v>
      </c>
      <c r="C98" s="63" t="str">
        <f t="shared" si="3"/>
        <v>Thomas Tommy</v>
      </c>
      <c r="G98" s="21"/>
      <c r="H98" s="21"/>
      <c r="I98" s="21"/>
      <c r="J98" s="21"/>
      <c r="K98" s="6"/>
      <c r="S98" s="3"/>
      <c r="W98" s="3"/>
      <c r="AE98" s="77">
        <v>46</v>
      </c>
      <c r="AF98" s="74" t="s">
        <v>120</v>
      </c>
      <c r="AG98" s="74" t="s">
        <v>159</v>
      </c>
      <c r="AH98" t="s">
        <v>17</v>
      </c>
      <c r="AI98" t="str">
        <f t="shared" si="5"/>
        <v>Harfanas</v>
      </c>
    </row>
    <row r="99" spans="1:35" ht="21" customHeight="1" x14ac:dyDescent="0.35">
      <c r="A99" s="79"/>
      <c r="B99" s="67" t="str">
        <f t="shared" si="4"/>
        <v>Harfanas</v>
      </c>
      <c r="C99" s="65" t="str">
        <f t="shared" si="3"/>
        <v>Muharram</v>
      </c>
      <c r="D99" s="16" t="s">
        <v>9</v>
      </c>
      <c r="E99" s="17">
        <f>E95+1</f>
        <v>23</v>
      </c>
      <c r="F99" s="17" t="s">
        <v>10</v>
      </c>
      <c r="G99" s="5"/>
      <c r="H99" s="21"/>
      <c r="I99" s="21"/>
      <c r="J99" s="21"/>
      <c r="K99" s="6"/>
      <c r="S99" s="3"/>
      <c r="W99" s="3"/>
      <c r="AE99" s="77"/>
      <c r="AF99" s="74" t="s">
        <v>120</v>
      </c>
      <c r="AG99" s="74" t="s">
        <v>160</v>
      </c>
      <c r="AH99" t="s">
        <v>17</v>
      </c>
      <c r="AI99" t="str">
        <f t="shared" si="5"/>
        <v>Harfanas</v>
      </c>
    </row>
    <row r="100" spans="1:35" ht="21" customHeight="1" x14ac:dyDescent="0.35">
      <c r="A100" s="76">
        <v>47</v>
      </c>
      <c r="B100" s="66">
        <f t="shared" si="4"/>
        <v>0</v>
      </c>
      <c r="C100" s="61">
        <f t="shared" si="3"/>
        <v>0</v>
      </c>
      <c r="G100" s="6"/>
      <c r="H100" s="24"/>
      <c r="I100" s="24"/>
      <c r="J100" s="24"/>
      <c r="K100" s="7"/>
      <c r="S100" s="3"/>
      <c r="W100" s="3"/>
      <c r="AE100" s="77">
        <v>47</v>
      </c>
      <c r="AF100" s="74"/>
      <c r="AG100" s="74"/>
      <c r="AH100" t="s">
        <v>17</v>
      </c>
      <c r="AI100">
        <f t="shared" si="5"/>
        <v>0</v>
      </c>
    </row>
    <row r="101" spans="1:35" ht="21" customHeight="1" x14ac:dyDescent="0.35">
      <c r="A101" s="76"/>
      <c r="B101" s="67">
        <f t="shared" si="4"/>
        <v>0</v>
      </c>
      <c r="C101" s="61" t="str">
        <f t="shared" si="3"/>
        <v>Bye</v>
      </c>
      <c r="G101" s="6"/>
      <c r="H101" s="21" t="s">
        <v>9</v>
      </c>
      <c r="I101" s="21">
        <f>1+I93</f>
        <v>44</v>
      </c>
      <c r="J101" s="21" t="s">
        <v>10</v>
      </c>
      <c r="S101" s="3"/>
      <c r="W101" s="3"/>
      <c r="AE101" s="77"/>
      <c r="AF101" s="20"/>
      <c r="AG101" s="74" t="s">
        <v>12</v>
      </c>
      <c r="AH101" t="s">
        <v>17</v>
      </c>
      <c r="AI101">
        <f t="shared" si="5"/>
        <v>0</v>
      </c>
    </row>
    <row r="102" spans="1:35" ht="21" customHeight="1" x14ac:dyDescent="0.35">
      <c r="A102" s="78">
        <v>48</v>
      </c>
      <c r="B102" s="66" t="str">
        <f t="shared" si="4"/>
        <v>BANKALTIMTARA</v>
      </c>
      <c r="C102" s="63" t="str">
        <f t="shared" si="3"/>
        <v>Suhaendi Noor (3/4)</v>
      </c>
      <c r="D102" s="9"/>
      <c r="E102" s="9"/>
      <c r="F102" s="9"/>
      <c r="G102" s="7"/>
      <c r="H102" s="21"/>
      <c r="I102" s="21"/>
      <c r="J102" s="21"/>
      <c r="S102" s="3"/>
      <c r="W102" s="3"/>
      <c r="AE102" s="77">
        <v>48</v>
      </c>
      <c r="AF102" s="74" t="s">
        <v>161</v>
      </c>
      <c r="AG102" s="74" t="s">
        <v>163</v>
      </c>
      <c r="AH102" t="s">
        <v>17</v>
      </c>
      <c r="AI102" t="str">
        <f t="shared" si="5"/>
        <v>BANKALTIMTARA</v>
      </c>
    </row>
    <row r="103" spans="1:35" ht="21" customHeight="1" x14ac:dyDescent="0.35">
      <c r="A103" s="79"/>
      <c r="B103" s="67" t="str">
        <f t="shared" si="4"/>
        <v>KESHAB TIMUR</v>
      </c>
      <c r="C103" s="65" t="str">
        <f t="shared" si="3"/>
        <v>Marlev Mario Mainaky (3/4)</v>
      </c>
      <c r="D103" s="16" t="s">
        <v>9</v>
      </c>
      <c r="E103" s="17">
        <f>E99+1</f>
        <v>24</v>
      </c>
      <c r="F103" s="17" t="s">
        <v>10</v>
      </c>
      <c r="G103" s="21"/>
      <c r="H103" s="21"/>
      <c r="I103" s="21"/>
      <c r="J103" s="21"/>
      <c r="S103" s="3"/>
      <c r="W103" s="3"/>
      <c r="AE103" s="77"/>
      <c r="AF103" s="20" t="s">
        <v>162</v>
      </c>
      <c r="AG103" s="74" t="s">
        <v>196</v>
      </c>
      <c r="AH103" t="s">
        <v>17</v>
      </c>
      <c r="AI103" t="str">
        <f t="shared" si="5"/>
        <v>KESHAB TIMUR</v>
      </c>
    </row>
    <row r="104" spans="1:35" ht="21" customHeight="1" x14ac:dyDescent="0.35">
      <c r="A104" s="76">
        <v>49</v>
      </c>
      <c r="B104" s="66" t="str">
        <f t="shared" si="4"/>
        <v>Fila Watch Makassar</v>
      </c>
      <c r="C104" s="61" t="str">
        <f t="shared" si="3"/>
        <v>Theo Durus Yohanes</v>
      </c>
      <c r="G104" s="21"/>
      <c r="H104" s="21"/>
      <c r="I104" s="21"/>
      <c r="J104" s="21"/>
      <c r="S104" s="3"/>
      <c r="T104" s="4"/>
      <c r="U104" s="9"/>
      <c r="V104" s="9"/>
      <c r="W104" s="2"/>
      <c r="AE104" s="77">
        <v>49</v>
      </c>
      <c r="AF104" s="74" t="s">
        <v>164</v>
      </c>
      <c r="AG104" s="38" t="s">
        <v>165</v>
      </c>
      <c r="AH104" t="s">
        <v>17</v>
      </c>
      <c r="AI104" t="str">
        <f t="shared" si="5"/>
        <v>Fila Watch Makassar</v>
      </c>
    </row>
    <row r="105" spans="1:35" ht="21" customHeight="1" x14ac:dyDescent="0.35">
      <c r="A105" s="76"/>
      <c r="B105" s="67" t="str">
        <f t="shared" si="4"/>
        <v>Fila Watch Makassar</v>
      </c>
      <c r="C105" s="61" t="str">
        <f t="shared" si="3"/>
        <v>Maulana</v>
      </c>
      <c r="G105" s="21"/>
      <c r="H105" s="21"/>
      <c r="I105" s="21"/>
      <c r="J105" s="21"/>
      <c r="S105" s="3"/>
      <c r="T105" s="18" t="s">
        <v>9</v>
      </c>
      <c r="U105" s="23">
        <f>U41+1</f>
        <v>62</v>
      </c>
      <c r="V105" s="23" t="s">
        <v>10</v>
      </c>
      <c r="W105" s="8"/>
      <c r="AE105" s="77"/>
      <c r="AF105" s="74" t="s">
        <v>164</v>
      </c>
      <c r="AG105" s="74" t="s">
        <v>166</v>
      </c>
      <c r="AH105" t="s">
        <v>17</v>
      </c>
      <c r="AI105" t="str">
        <f t="shared" si="5"/>
        <v>Fila Watch Makassar</v>
      </c>
    </row>
    <row r="106" spans="1:35" ht="21" customHeight="1" x14ac:dyDescent="0.35">
      <c r="A106" s="78">
        <v>50</v>
      </c>
      <c r="B106" s="66" t="str">
        <f t="shared" si="4"/>
        <v>PB Jaya Abadi Balikpapan</v>
      </c>
      <c r="C106" s="63" t="str">
        <f t="shared" si="3"/>
        <v>Rommy Djemmy Tampi.</v>
      </c>
      <c r="G106" s="21"/>
      <c r="H106" s="21"/>
      <c r="I106" s="21"/>
      <c r="J106" s="21"/>
      <c r="S106" s="3"/>
      <c r="AE106" s="77">
        <v>50</v>
      </c>
      <c r="AF106" s="74" t="s">
        <v>169</v>
      </c>
      <c r="AG106" s="74" t="s">
        <v>167</v>
      </c>
      <c r="AH106" t="s">
        <v>17</v>
      </c>
      <c r="AI106" t="str">
        <f t="shared" si="5"/>
        <v>PB Jaya Abadi Balikpapan</v>
      </c>
    </row>
    <row r="107" spans="1:35" ht="21" customHeight="1" x14ac:dyDescent="0.35">
      <c r="A107" s="79"/>
      <c r="B107" s="67" t="str">
        <f>IFERROR(AF107,0)</f>
        <v>PB Jaya Abadi Balikpapan</v>
      </c>
      <c r="C107" s="65" t="str">
        <f>IFERROR(AG107,0)</f>
        <v>Alamal</v>
      </c>
      <c r="D107" s="16" t="s">
        <v>9</v>
      </c>
      <c r="E107" s="17">
        <f>E103+1</f>
        <v>25</v>
      </c>
      <c r="F107" s="17" t="s">
        <v>10</v>
      </c>
      <c r="G107" s="5"/>
      <c r="H107" s="21"/>
      <c r="I107" s="21"/>
      <c r="J107" s="21"/>
      <c r="S107" s="3"/>
      <c r="AE107" s="77"/>
      <c r="AF107" s="74" t="s">
        <v>169</v>
      </c>
      <c r="AG107" s="74" t="s">
        <v>168</v>
      </c>
      <c r="AH107" t="s">
        <v>17</v>
      </c>
      <c r="AI107" t="str">
        <f t="shared" si="5"/>
        <v>PB Jaya Abadi Balikpapan</v>
      </c>
    </row>
    <row r="108" spans="1:35" ht="21" customHeight="1" x14ac:dyDescent="0.35">
      <c r="A108" s="76">
        <v>51</v>
      </c>
      <c r="B108" s="66" t="str">
        <f t="shared" si="4"/>
        <v>Harfanas</v>
      </c>
      <c r="C108" s="61" t="str">
        <f t="shared" si="3"/>
        <v>Sotieli Harefa</v>
      </c>
      <c r="G108" s="6"/>
      <c r="H108" s="21"/>
      <c r="I108" s="21"/>
      <c r="J108" s="21"/>
      <c r="S108" s="3"/>
      <c r="AE108" s="77">
        <v>51</v>
      </c>
      <c r="AF108" s="74" t="s">
        <v>120</v>
      </c>
      <c r="AG108" s="74" t="s">
        <v>170</v>
      </c>
      <c r="AH108" t="s">
        <v>17</v>
      </c>
      <c r="AI108" t="str">
        <f t="shared" si="5"/>
        <v>Harfanas</v>
      </c>
    </row>
    <row r="109" spans="1:35" ht="21" customHeight="1" x14ac:dyDescent="0.35">
      <c r="A109" s="76"/>
      <c r="B109" s="67" t="str">
        <f>IFERROR(AF109,0)</f>
        <v>Harfanas</v>
      </c>
      <c r="C109" s="61" t="str">
        <f>IFERROR(AG109,0)</f>
        <v>Hariyanto Wibowo</v>
      </c>
      <c r="G109" s="6"/>
      <c r="H109" s="18" t="s">
        <v>9</v>
      </c>
      <c r="I109" s="23">
        <f>1+I101</f>
        <v>45</v>
      </c>
      <c r="J109" s="23" t="s">
        <v>10</v>
      </c>
      <c r="K109" s="5"/>
      <c r="S109" s="3"/>
      <c r="AE109" s="77"/>
      <c r="AF109" s="74" t="s">
        <v>120</v>
      </c>
      <c r="AG109" s="74" t="s">
        <v>171</v>
      </c>
      <c r="AH109" t="s">
        <v>17</v>
      </c>
      <c r="AI109" t="str">
        <f t="shared" si="5"/>
        <v>Harfanas</v>
      </c>
    </row>
    <row r="110" spans="1:35" ht="21" customHeight="1" x14ac:dyDescent="0.35">
      <c r="A110" s="78">
        <v>52</v>
      </c>
      <c r="B110" s="66" t="str">
        <f t="shared" si="4"/>
        <v>PB ABX</v>
      </c>
      <c r="C110" s="63" t="str">
        <f t="shared" si="3"/>
        <v>Dedy Prayitno</v>
      </c>
      <c r="D110" s="9"/>
      <c r="E110" s="9"/>
      <c r="F110" s="9"/>
      <c r="G110" s="7"/>
      <c r="K110" s="6"/>
      <c r="S110" s="3"/>
      <c r="AE110" s="77">
        <v>52</v>
      </c>
      <c r="AF110" s="74" t="s">
        <v>174</v>
      </c>
      <c r="AG110" s="74" t="s">
        <v>172</v>
      </c>
      <c r="AH110" t="s">
        <v>17</v>
      </c>
      <c r="AI110" t="str">
        <f t="shared" si="5"/>
        <v>PB ABX</v>
      </c>
    </row>
    <row r="111" spans="1:35" ht="21" customHeight="1" x14ac:dyDescent="0.35">
      <c r="A111" s="79"/>
      <c r="B111" s="67" t="str">
        <f t="shared" si="4"/>
        <v>PB ABX</v>
      </c>
      <c r="C111" s="65" t="str">
        <f t="shared" si="3"/>
        <v>Fahmi Abdullah</v>
      </c>
      <c r="D111" s="16" t="s">
        <v>9</v>
      </c>
      <c r="E111" s="17">
        <f>E107+1</f>
        <v>26</v>
      </c>
      <c r="F111" s="17" t="s">
        <v>10</v>
      </c>
      <c r="G111" s="21"/>
      <c r="H111" s="21"/>
      <c r="I111" s="21"/>
      <c r="J111" s="21"/>
      <c r="K111" s="6"/>
      <c r="S111" s="3"/>
      <c r="AE111" s="77"/>
      <c r="AF111" s="74" t="s">
        <v>174</v>
      </c>
      <c r="AG111" s="74" t="s">
        <v>173</v>
      </c>
      <c r="AH111" t="s">
        <v>17</v>
      </c>
      <c r="AI111" t="str">
        <f t="shared" si="5"/>
        <v>PB ABX</v>
      </c>
    </row>
    <row r="112" spans="1:35" ht="21" customHeight="1" x14ac:dyDescent="0.35">
      <c r="A112" s="76">
        <v>53</v>
      </c>
      <c r="B112" s="66">
        <f t="shared" si="4"/>
        <v>0</v>
      </c>
      <c r="C112" s="61">
        <f t="shared" si="3"/>
        <v>0</v>
      </c>
      <c r="G112" s="21"/>
      <c r="K112" s="6"/>
      <c r="S112" s="3"/>
      <c r="AE112" s="77">
        <v>53</v>
      </c>
      <c r="AF112" s="38"/>
      <c r="AG112" s="38"/>
      <c r="AH112" t="s">
        <v>17</v>
      </c>
      <c r="AI112">
        <f t="shared" si="5"/>
        <v>0</v>
      </c>
    </row>
    <row r="113" spans="1:35" ht="21" customHeight="1" x14ac:dyDescent="0.35">
      <c r="A113" s="76"/>
      <c r="B113" s="67">
        <f t="shared" si="4"/>
        <v>0</v>
      </c>
      <c r="C113" s="61" t="str">
        <f t="shared" si="3"/>
        <v>Bye</v>
      </c>
      <c r="G113" s="21"/>
      <c r="K113" s="6"/>
      <c r="L113" s="18" t="s">
        <v>9</v>
      </c>
      <c r="M113" s="23">
        <f>1+M97</f>
        <v>55</v>
      </c>
      <c r="N113" s="23" t="s">
        <v>10</v>
      </c>
      <c r="O113" s="5"/>
      <c r="S113" s="3"/>
      <c r="AE113" s="77"/>
      <c r="AF113" s="38"/>
      <c r="AG113" s="38" t="s">
        <v>12</v>
      </c>
      <c r="AH113" t="s">
        <v>17</v>
      </c>
      <c r="AI113">
        <f t="shared" si="5"/>
        <v>0</v>
      </c>
    </row>
    <row r="114" spans="1:35" ht="21" customHeight="1" x14ac:dyDescent="0.35">
      <c r="A114" s="78">
        <v>54</v>
      </c>
      <c r="B114" s="66" t="str">
        <f t="shared" si="4"/>
        <v>PB MULIA BARU SANGATTA</v>
      </c>
      <c r="C114" s="63" t="str">
        <f t="shared" si="3"/>
        <v>Mohammad Natsir</v>
      </c>
      <c r="G114" s="21"/>
      <c r="H114" s="21"/>
      <c r="I114" s="21"/>
      <c r="J114" s="21"/>
      <c r="K114" s="6"/>
      <c r="O114" s="6"/>
      <c r="S114" s="3"/>
      <c r="AE114" s="77">
        <v>54</v>
      </c>
      <c r="AF114" s="74" t="s">
        <v>57</v>
      </c>
      <c r="AG114" s="74" t="s">
        <v>175</v>
      </c>
      <c r="AH114" t="s">
        <v>17</v>
      </c>
      <c r="AI114" t="str">
        <f t="shared" si="5"/>
        <v>PB MULIA BARU SANGATTA</v>
      </c>
    </row>
    <row r="115" spans="1:35" ht="21" customHeight="1" x14ac:dyDescent="0.35">
      <c r="A115" s="79"/>
      <c r="B115" s="67" t="str">
        <f t="shared" si="4"/>
        <v>PB MULIA BARU SANGATTA</v>
      </c>
      <c r="C115" s="65" t="str">
        <f t="shared" si="3"/>
        <v>Asziar</v>
      </c>
      <c r="D115" s="16" t="s">
        <v>9</v>
      </c>
      <c r="E115" s="17">
        <f>E111+1</f>
        <v>27</v>
      </c>
      <c r="F115" s="17" t="s">
        <v>10</v>
      </c>
      <c r="G115" s="5"/>
      <c r="H115" s="21"/>
      <c r="I115" s="21"/>
      <c r="J115" s="21"/>
      <c r="K115" s="6"/>
      <c r="O115" s="6"/>
      <c r="S115" s="3"/>
      <c r="AE115" s="77"/>
      <c r="AF115" s="74" t="s">
        <v>57</v>
      </c>
      <c r="AG115" s="74" t="s">
        <v>176</v>
      </c>
      <c r="AH115" t="s">
        <v>17</v>
      </c>
      <c r="AI115" t="str">
        <f t="shared" si="5"/>
        <v>PB MULIA BARU SANGATTA</v>
      </c>
    </row>
    <row r="116" spans="1:35" ht="21" customHeight="1" x14ac:dyDescent="0.35">
      <c r="A116" s="76">
        <v>55</v>
      </c>
      <c r="B116" s="66">
        <f t="shared" si="4"/>
        <v>0</v>
      </c>
      <c r="C116" s="61">
        <f t="shared" si="3"/>
        <v>0</v>
      </c>
      <c r="G116" s="6"/>
      <c r="H116" s="24"/>
      <c r="I116" s="24"/>
      <c r="J116" s="24"/>
      <c r="K116" s="7"/>
      <c r="O116" s="6"/>
      <c r="S116" s="3"/>
      <c r="AE116" s="77">
        <v>55</v>
      </c>
      <c r="AF116" s="20"/>
      <c r="AG116" s="38"/>
      <c r="AH116" t="s">
        <v>17</v>
      </c>
      <c r="AI116">
        <f t="shared" si="5"/>
        <v>0</v>
      </c>
    </row>
    <row r="117" spans="1:35" ht="21" customHeight="1" x14ac:dyDescent="0.35">
      <c r="A117" s="76"/>
      <c r="B117" s="67">
        <f t="shared" si="4"/>
        <v>0</v>
      </c>
      <c r="C117" s="61" t="str">
        <f t="shared" si="3"/>
        <v>Bye</v>
      </c>
      <c r="G117" s="6"/>
      <c r="H117" s="21" t="s">
        <v>9</v>
      </c>
      <c r="I117" s="21">
        <f>1+I109</f>
        <v>46</v>
      </c>
      <c r="J117" s="21" t="s">
        <v>10</v>
      </c>
      <c r="O117" s="6"/>
      <c r="S117" s="3"/>
      <c r="AE117" s="77"/>
      <c r="AF117" s="20"/>
      <c r="AG117" s="38" t="s">
        <v>12</v>
      </c>
      <c r="AH117" t="s">
        <v>17</v>
      </c>
      <c r="AI117">
        <f t="shared" si="5"/>
        <v>0</v>
      </c>
    </row>
    <row r="118" spans="1:35" ht="21" customHeight="1" x14ac:dyDescent="0.35">
      <c r="A118" s="78">
        <v>56</v>
      </c>
      <c r="B118" s="66" t="str">
        <f t="shared" si="4"/>
        <v>TR SPORT BERAU</v>
      </c>
      <c r="C118" s="63" t="str">
        <f t="shared" si="3"/>
        <v>Irwan Burhanuddin (5/8)</v>
      </c>
      <c r="D118" s="9"/>
      <c r="E118" s="9"/>
      <c r="F118" s="9"/>
      <c r="G118" s="7"/>
      <c r="H118" s="21"/>
      <c r="I118" s="21"/>
      <c r="J118" s="21"/>
      <c r="O118" s="6"/>
      <c r="S118" s="3"/>
      <c r="AE118" s="77">
        <v>56</v>
      </c>
      <c r="AF118" s="74" t="s">
        <v>99</v>
      </c>
      <c r="AG118" s="74" t="s">
        <v>177</v>
      </c>
      <c r="AH118" t="s">
        <v>17</v>
      </c>
      <c r="AI118" t="str">
        <f t="shared" si="5"/>
        <v>TR SPORT BERAU</v>
      </c>
    </row>
    <row r="119" spans="1:35" ht="21" customHeight="1" x14ac:dyDescent="0.35">
      <c r="A119" s="79"/>
      <c r="B119" s="67" t="str">
        <f t="shared" si="4"/>
        <v>TR SPORT BERAU</v>
      </c>
      <c r="C119" s="65" t="str">
        <f t="shared" si="3"/>
        <v>Rudiansyah (5/8)</v>
      </c>
      <c r="D119" s="16" t="s">
        <v>9</v>
      </c>
      <c r="E119" s="17">
        <f>E115+1</f>
        <v>28</v>
      </c>
      <c r="F119" s="17" t="s">
        <v>10</v>
      </c>
      <c r="G119" s="21"/>
      <c r="H119" s="21"/>
      <c r="I119" s="21"/>
      <c r="J119" s="21"/>
      <c r="O119" s="6"/>
      <c r="S119" s="3"/>
      <c r="AE119" s="77"/>
      <c r="AF119" s="74" t="s">
        <v>99</v>
      </c>
      <c r="AG119" s="74" t="s">
        <v>178</v>
      </c>
      <c r="AH119" t="s">
        <v>17</v>
      </c>
      <c r="AI119" t="str">
        <f t="shared" si="5"/>
        <v>TR SPORT BERAU</v>
      </c>
    </row>
    <row r="120" spans="1:35" ht="21" customHeight="1" x14ac:dyDescent="0.35">
      <c r="A120" s="76">
        <v>57</v>
      </c>
      <c r="B120" s="66" t="str">
        <f t="shared" si="4"/>
        <v>Sfarak</v>
      </c>
      <c r="C120" s="61" t="str">
        <f t="shared" si="3"/>
        <v>Awal Alauddin</v>
      </c>
      <c r="G120" s="21"/>
      <c r="H120" s="21"/>
      <c r="I120" s="21"/>
      <c r="J120" s="21"/>
      <c r="O120" s="6"/>
      <c r="P120" s="24"/>
      <c r="Q120" s="24"/>
      <c r="R120" s="24"/>
      <c r="S120" s="2"/>
      <c r="AE120" s="77">
        <v>57</v>
      </c>
      <c r="AF120" s="74" t="s">
        <v>179</v>
      </c>
      <c r="AG120" s="74" t="s">
        <v>181</v>
      </c>
      <c r="AH120" t="s">
        <v>17</v>
      </c>
      <c r="AI120" t="str">
        <f t="shared" si="5"/>
        <v>Sfarak</v>
      </c>
    </row>
    <row r="121" spans="1:35" ht="21" customHeight="1" x14ac:dyDescent="0.35">
      <c r="A121" s="76"/>
      <c r="B121" s="67" t="str">
        <f t="shared" si="4"/>
        <v>Sfarak</v>
      </c>
      <c r="C121" s="61" t="str">
        <f t="shared" si="3"/>
        <v>Fristiono</v>
      </c>
      <c r="G121" s="21"/>
      <c r="H121" s="21"/>
      <c r="I121" s="21"/>
      <c r="J121" s="21"/>
      <c r="O121" s="6"/>
      <c r="P121" s="21" t="s">
        <v>9</v>
      </c>
      <c r="Q121" s="21">
        <f>Q89+1</f>
        <v>60</v>
      </c>
      <c r="R121" s="21" t="s">
        <v>10</v>
      </c>
      <c r="AE121" s="77"/>
      <c r="AF121" s="74" t="s">
        <v>179</v>
      </c>
      <c r="AG121" s="74" t="s">
        <v>180</v>
      </c>
      <c r="AH121" t="s">
        <v>17</v>
      </c>
      <c r="AI121" t="str">
        <f t="shared" si="5"/>
        <v>Sfarak</v>
      </c>
    </row>
    <row r="122" spans="1:35" ht="21" customHeight="1" x14ac:dyDescent="0.35">
      <c r="A122" s="78">
        <v>58</v>
      </c>
      <c r="B122" s="66" t="str">
        <f t="shared" si="4"/>
        <v>WBH BALI</v>
      </c>
      <c r="C122" s="63" t="str">
        <f t="shared" si="3"/>
        <v>Peery Hanidjaja</v>
      </c>
      <c r="G122" s="21"/>
      <c r="H122" s="21"/>
      <c r="I122" s="21"/>
      <c r="J122" s="21"/>
      <c r="O122" s="6"/>
      <c r="AE122" s="77">
        <v>58</v>
      </c>
      <c r="AF122" s="74" t="s">
        <v>87</v>
      </c>
      <c r="AG122" s="74" t="s">
        <v>182</v>
      </c>
      <c r="AH122" t="s">
        <v>17</v>
      </c>
      <c r="AI122" t="str">
        <f t="shared" si="5"/>
        <v>WBH BALI</v>
      </c>
    </row>
    <row r="123" spans="1:35" ht="21" customHeight="1" x14ac:dyDescent="0.35">
      <c r="A123" s="79"/>
      <c r="B123" s="67" t="str">
        <f t="shared" si="4"/>
        <v>WBH BALI</v>
      </c>
      <c r="C123" s="65" t="str">
        <f t="shared" si="3"/>
        <v>I Made Adi Sartika</v>
      </c>
      <c r="D123" s="16" t="s">
        <v>9</v>
      </c>
      <c r="E123" s="17">
        <f>E119+1</f>
        <v>29</v>
      </c>
      <c r="F123" s="17" t="s">
        <v>10</v>
      </c>
      <c r="G123" s="5"/>
      <c r="H123" s="21"/>
      <c r="I123" s="21"/>
      <c r="J123" s="21"/>
      <c r="O123" s="6"/>
      <c r="AE123" s="77"/>
      <c r="AF123" s="74" t="s">
        <v>87</v>
      </c>
      <c r="AG123" s="74" t="s">
        <v>183</v>
      </c>
      <c r="AH123" t="s">
        <v>17</v>
      </c>
      <c r="AI123" t="str">
        <f t="shared" si="5"/>
        <v>WBH BALI</v>
      </c>
    </row>
    <row r="124" spans="1:35" ht="21" customHeight="1" x14ac:dyDescent="0.35">
      <c r="A124" s="76">
        <v>59</v>
      </c>
      <c r="B124" s="66">
        <f t="shared" si="4"/>
        <v>0</v>
      </c>
      <c r="C124" s="61">
        <f t="shared" si="3"/>
        <v>0</v>
      </c>
      <c r="G124" s="6"/>
      <c r="H124" s="21"/>
      <c r="I124" s="21"/>
      <c r="J124" s="21"/>
      <c r="O124" s="6"/>
      <c r="AE124" s="77">
        <v>59</v>
      </c>
      <c r="AF124" s="38"/>
      <c r="AG124" s="38"/>
      <c r="AH124" t="s">
        <v>17</v>
      </c>
      <c r="AI124">
        <f t="shared" si="5"/>
        <v>0</v>
      </c>
    </row>
    <row r="125" spans="1:35" ht="21" customHeight="1" x14ac:dyDescent="0.35">
      <c r="A125" s="76"/>
      <c r="B125" s="67">
        <f t="shared" si="4"/>
        <v>0</v>
      </c>
      <c r="C125" s="61" t="str">
        <f t="shared" si="3"/>
        <v>Bye</v>
      </c>
      <c r="G125" s="6"/>
      <c r="H125" s="18" t="s">
        <v>9</v>
      </c>
      <c r="I125" s="23">
        <f>1+I117</f>
        <v>47</v>
      </c>
      <c r="J125" s="23" t="s">
        <v>10</v>
      </c>
      <c r="K125" s="5"/>
      <c r="O125" s="6"/>
      <c r="AE125" s="77"/>
      <c r="AF125" s="38"/>
      <c r="AG125" s="38" t="s">
        <v>12</v>
      </c>
      <c r="AH125" t="s">
        <v>17</v>
      </c>
      <c r="AI125">
        <f t="shared" si="5"/>
        <v>0</v>
      </c>
    </row>
    <row r="126" spans="1:35" ht="21" customHeight="1" x14ac:dyDescent="0.35">
      <c r="A126" s="78">
        <v>60</v>
      </c>
      <c r="B126" s="66" t="str">
        <f t="shared" si="4"/>
        <v>PB LD STAR</v>
      </c>
      <c r="C126" s="63" t="str">
        <f t="shared" si="3"/>
        <v>Didik Noorhadi</v>
      </c>
      <c r="D126" s="9"/>
      <c r="E126" s="9"/>
      <c r="F126" s="9"/>
      <c r="G126" s="7"/>
      <c r="K126" s="6"/>
      <c r="O126" s="6"/>
      <c r="AE126" s="77">
        <v>60</v>
      </c>
      <c r="AF126" s="74" t="s">
        <v>186</v>
      </c>
      <c r="AG126" s="74" t="s">
        <v>184</v>
      </c>
      <c r="AH126" t="s">
        <v>17</v>
      </c>
      <c r="AI126" t="str">
        <f t="shared" si="5"/>
        <v>PB LD STAR</v>
      </c>
    </row>
    <row r="127" spans="1:35" ht="21" customHeight="1" x14ac:dyDescent="0.35">
      <c r="A127" s="79"/>
      <c r="B127" s="67" t="str">
        <f t="shared" si="4"/>
        <v xml:space="preserve">PB GOLD STAR </v>
      </c>
      <c r="C127" s="65" t="str">
        <f t="shared" si="3"/>
        <v>Iwan Iriawan</v>
      </c>
      <c r="D127" s="16" t="s">
        <v>9</v>
      </c>
      <c r="E127" s="17">
        <f>E123+1</f>
        <v>30</v>
      </c>
      <c r="F127" s="17" t="s">
        <v>10</v>
      </c>
      <c r="G127" s="21"/>
      <c r="H127" s="21"/>
      <c r="I127" s="21"/>
      <c r="J127" s="21"/>
      <c r="K127" s="6"/>
      <c r="O127" s="6"/>
      <c r="AE127" s="77"/>
      <c r="AF127" s="38" t="s">
        <v>187</v>
      </c>
      <c r="AG127" s="74" t="s">
        <v>185</v>
      </c>
      <c r="AH127" t="s">
        <v>17</v>
      </c>
      <c r="AI127" t="str">
        <f t="shared" si="5"/>
        <v xml:space="preserve">PB GOLD STAR </v>
      </c>
    </row>
    <row r="128" spans="1:35" ht="21" customHeight="1" x14ac:dyDescent="0.35">
      <c r="A128" s="76">
        <v>61</v>
      </c>
      <c r="B128" s="66">
        <f t="shared" si="4"/>
        <v>0</v>
      </c>
      <c r="C128" s="61">
        <f t="shared" si="3"/>
        <v>0</v>
      </c>
      <c r="G128" s="21"/>
      <c r="K128" s="6"/>
      <c r="L128" s="24"/>
      <c r="M128" s="24"/>
      <c r="N128" s="24"/>
      <c r="O128" s="7"/>
      <c r="AE128" s="77">
        <v>61</v>
      </c>
      <c r="AF128" s="38"/>
      <c r="AG128" s="38"/>
      <c r="AH128" t="s">
        <v>17</v>
      </c>
      <c r="AI128">
        <f t="shared" si="5"/>
        <v>0</v>
      </c>
    </row>
    <row r="129" spans="1:35" ht="21" customHeight="1" x14ac:dyDescent="0.35">
      <c r="A129" s="76"/>
      <c r="B129" s="67">
        <f t="shared" si="4"/>
        <v>0</v>
      </c>
      <c r="C129" s="61" t="str">
        <f t="shared" si="3"/>
        <v>Bye</v>
      </c>
      <c r="G129" s="21"/>
      <c r="K129" s="6"/>
      <c r="L129" s="18" t="s">
        <v>9</v>
      </c>
      <c r="M129" s="23">
        <f>1+M113</f>
        <v>56</v>
      </c>
      <c r="N129" s="23" t="s">
        <v>10</v>
      </c>
      <c r="AE129" s="77"/>
      <c r="AF129" s="38"/>
      <c r="AG129" s="38" t="s">
        <v>12</v>
      </c>
      <c r="AH129" t="s">
        <v>17</v>
      </c>
      <c r="AI129">
        <f t="shared" si="5"/>
        <v>0</v>
      </c>
    </row>
    <row r="130" spans="1:35" ht="21" customHeight="1" x14ac:dyDescent="0.35">
      <c r="A130" s="78">
        <v>62</v>
      </c>
      <c r="B130" s="66" t="str">
        <f t="shared" si="4"/>
        <v>PB. A-NOE</v>
      </c>
      <c r="C130" s="63" t="str">
        <f t="shared" si="3"/>
        <v>Hasri</v>
      </c>
      <c r="G130" s="21"/>
      <c r="H130" s="21"/>
      <c r="I130" s="21"/>
      <c r="J130" s="21"/>
      <c r="K130" s="6"/>
      <c r="AE130" s="77">
        <v>62</v>
      </c>
      <c r="AF130" s="74" t="s">
        <v>190</v>
      </c>
      <c r="AG130" s="74" t="s">
        <v>188</v>
      </c>
      <c r="AH130" t="s">
        <v>17</v>
      </c>
      <c r="AI130" t="str">
        <f t="shared" si="5"/>
        <v>PB. A-NOE</v>
      </c>
    </row>
    <row r="131" spans="1:35" ht="21" customHeight="1" x14ac:dyDescent="0.35">
      <c r="A131" s="79"/>
      <c r="B131" s="67" t="str">
        <f t="shared" si="4"/>
        <v>PB. A-NOE</v>
      </c>
      <c r="C131" s="65" t="str">
        <f t="shared" si="3"/>
        <v>Eka Wahyudi</v>
      </c>
      <c r="D131" s="16" t="s">
        <v>9</v>
      </c>
      <c r="E131" s="17">
        <f>E127+1</f>
        <v>31</v>
      </c>
      <c r="F131" s="17" t="s">
        <v>10</v>
      </c>
      <c r="G131" s="5"/>
      <c r="H131" s="21"/>
      <c r="I131" s="21"/>
      <c r="J131" s="21"/>
      <c r="K131" s="6"/>
      <c r="AE131" s="77"/>
      <c r="AF131" s="74" t="s">
        <v>190</v>
      </c>
      <c r="AG131" s="74" t="s">
        <v>189</v>
      </c>
      <c r="AH131" t="s">
        <v>17</v>
      </c>
      <c r="AI131" t="str">
        <f t="shared" si="5"/>
        <v>PB. A-NOE</v>
      </c>
    </row>
    <row r="132" spans="1:35" ht="21" customHeight="1" x14ac:dyDescent="0.35">
      <c r="A132" s="76">
        <v>63</v>
      </c>
      <c r="B132" s="66">
        <f t="shared" si="4"/>
        <v>0</v>
      </c>
      <c r="C132" s="61">
        <f t="shared" si="3"/>
        <v>0</v>
      </c>
      <c r="G132" s="6"/>
      <c r="H132" s="24"/>
      <c r="I132" s="24"/>
      <c r="J132" s="24"/>
      <c r="K132" s="7"/>
      <c r="AE132" s="77">
        <v>63</v>
      </c>
      <c r="AF132" s="20"/>
      <c r="AG132" s="38"/>
      <c r="AH132" t="s">
        <v>17</v>
      </c>
      <c r="AI132">
        <f t="shared" si="5"/>
        <v>0</v>
      </c>
    </row>
    <row r="133" spans="1:35" ht="21" customHeight="1" x14ac:dyDescent="0.35">
      <c r="A133" s="76"/>
      <c r="B133" s="67">
        <f t="shared" si="4"/>
        <v>0</v>
      </c>
      <c r="C133" s="61" t="str">
        <f t="shared" si="3"/>
        <v>Bye</v>
      </c>
      <c r="G133" s="6"/>
      <c r="H133" s="21" t="s">
        <v>9</v>
      </c>
      <c r="I133" s="21">
        <f>1+I125</f>
        <v>48</v>
      </c>
      <c r="J133" s="21" t="s">
        <v>10</v>
      </c>
      <c r="AE133" s="77"/>
      <c r="AF133" s="20"/>
      <c r="AG133" s="38" t="s">
        <v>12</v>
      </c>
      <c r="AH133" t="s">
        <v>17</v>
      </c>
      <c r="AI133">
        <f t="shared" si="5"/>
        <v>0</v>
      </c>
    </row>
    <row r="134" spans="1:35" ht="21" customHeight="1" x14ac:dyDescent="0.35">
      <c r="A134" s="78">
        <v>64</v>
      </c>
      <c r="B134" s="66" t="str">
        <f t="shared" si="4"/>
        <v>PLATINUM</v>
      </c>
      <c r="C134" s="63" t="str">
        <f t="shared" si="3"/>
        <v>Unang Rahmat (2)</v>
      </c>
      <c r="D134" s="9"/>
      <c r="E134" s="9"/>
      <c r="F134" s="9"/>
      <c r="G134" s="7"/>
      <c r="H134" s="21"/>
      <c r="I134" s="21"/>
      <c r="J134" s="21"/>
      <c r="AE134" s="77">
        <v>64</v>
      </c>
      <c r="AF134" s="74" t="s">
        <v>191</v>
      </c>
      <c r="AG134" s="74" t="s">
        <v>192</v>
      </c>
      <c r="AH134" t="s">
        <v>17</v>
      </c>
      <c r="AI134" t="str">
        <f t="shared" si="5"/>
        <v>PLATINUM</v>
      </c>
    </row>
    <row r="135" spans="1:35" ht="21" customHeight="1" x14ac:dyDescent="0.35">
      <c r="A135" s="79"/>
      <c r="B135" s="67" t="str">
        <f t="shared" si="4"/>
        <v>PLATINUM</v>
      </c>
      <c r="C135" s="65" t="str">
        <f t="shared" si="3"/>
        <v>Eko Hamiseno (2)</v>
      </c>
      <c r="D135" s="16" t="s">
        <v>9</v>
      </c>
      <c r="E135" s="17">
        <f>E131+1</f>
        <v>32</v>
      </c>
      <c r="F135" s="17" t="s">
        <v>10</v>
      </c>
      <c r="G135" s="21"/>
      <c r="H135" s="21"/>
      <c r="I135" s="21"/>
      <c r="J135" s="21"/>
      <c r="AE135" s="77"/>
      <c r="AF135" s="74" t="s">
        <v>191</v>
      </c>
      <c r="AG135" s="74" t="s">
        <v>193</v>
      </c>
      <c r="AH135" t="s">
        <v>17</v>
      </c>
      <c r="AI135" t="str">
        <f t="shared" si="5"/>
        <v>PLATINUM</v>
      </c>
    </row>
    <row r="139" spans="1:35" ht="18.95" customHeight="1" x14ac:dyDescent="0.25">
      <c r="E139">
        <f>I133-E135</f>
        <v>16</v>
      </c>
      <c r="I139">
        <f>I133-E135</f>
        <v>16</v>
      </c>
      <c r="M139" s="21">
        <f>M129-I133</f>
        <v>8</v>
      </c>
      <c r="Q139" s="21">
        <f>Q121-M129</f>
        <v>4</v>
      </c>
      <c r="U139">
        <f>U105-Q121</f>
        <v>2</v>
      </c>
    </row>
  </sheetData>
  <mergeCells count="134">
    <mergeCell ref="A8:A9"/>
    <mergeCell ref="AE8:AE9"/>
    <mergeCell ref="A10:A11"/>
    <mergeCell ref="AE10:AE11"/>
    <mergeCell ref="A12:A13"/>
    <mergeCell ref="AE12:AE13"/>
    <mergeCell ref="D6:G6"/>
    <mergeCell ref="H6:K6"/>
    <mergeCell ref="L6:O6"/>
    <mergeCell ref="P6:S6"/>
    <mergeCell ref="T6:W6"/>
    <mergeCell ref="X6:AA6"/>
    <mergeCell ref="A20:A21"/>
    <mergeCell ref="AE20:AE21"/>
    <mergeCell ref="A22:A23"/>
    <mergeCell ref="AE22:AE23"/>
    <mergeCell ref="A24:A25"/>
    <mergeCell ref="AE24:AE25"/>
    <mergeCell ref="A14:A15"/>
    <mergeCell ref="AE14:AE15"/>
    <mergeCell ref="A16:A17"/>
    <mergeCell ref="AE16:AE17"/>
    <mergeCell ref="A18:A19"/>
    <mergeCell ref="AE18:AE19"/>
    <mergeCell ref="A32:A33"/>
    <mergeCell ref="AE32:AE33"/>
    <mergeCell ref="A34:A35"/>
    <mergeCell ref="AE34:AE35"/>
    <mergeCell ref="A36:A37"/>
    <mergeCell ref="AE36:AE37"/>
    <mergeCell ref="A26:A27"/>
    <mergeCell ref="AE26:AE27"/>
    <mergeCell ref="A28:A29"/>
    <mergeCell ref="AE28:AE29"/>
    <mergeCell ref="A30:A31"/>
    <mergeCell ref="AE30:AE31"/>
    <mergeCell ref="A44:A45"/>
    <mergeCell ref="AE44:AE45"/>
    <mergeCell ref="A46:A47"/>
    <mergeCell ref="AE46:AE47"/>
    <mergeCell ref="A48:A49"/>
    <mergeCell ref="AE48:AE49"/>
    <mergeCell ref="A38:A39"/>
    <mergeCell ref="AE38:AE39"/>
    <mergeCell ref="A40:A41"/>
    <mergeCell ref="AE40:AE41"/>
    <mergeCell ref="A42:A43"/>
    <mergeCell ref="AE42:AE43"/>
    <mergeCell ref="A56:A57"/>
    <mergeCell ref="AE56:AE57"/>
    <mergeCell ref="A58:A59"/>
    <mergeCell ref="AE58:AE59"/>
    <mergeCell ref="A60:A61"/>
    <mergeCell ref="AE60:AE61"/>
    <mergeCell ref="A50:A51"/>
    <mergeCell ref="AE50:AE51"/>
    <mergeCell ref="A52:A53"/>
    <mergeCell ref="AE52:AE53"/>
    <mergeCell ref="A54:A55"/>
    <mergeCell ref="AE54:AE55"/>
    <mergeCell ref="A68:A69"/>
    <mergeCell ref="AE68:AE69"/>
    <mergeCell ref="A70:A71"/>
    <mergeCell ref="AE70:AE71"/>
    <mergeCell ref="A72:A73"/>
    <mergeCell ref="AE72:AE73"/>
    <mergeCell ref="A62:A63"/>
    <mergeCell ref="AE62:AE63"/>
    <mergeCell ref="A64:A65"/>
    <mergeCell ref="AE64:AE65"/>
    <mergeCell ref="A66:A67"/>
    <mergeCell ref="AE66:AE67"/>
    <mergeCell ref="A80:A81"/>
    <mergeCell ref="AE80:AE81"/>
    <mergeCell ref="A82:A83"/>
    <mergeCell ref="AE82:AE83"/>
    <mergeCell ref="A84:A85"/>
    <mergeCell ref="AE84:AE85"/>
    <mergeCell ref="A74:A75"/>
    <mergeCell ref="AE74:AE75"/>
    <mergeCell ref="A76:A77"/>
    <mergeCell ref="AE76:AE77"/>
    <mergeCell ref="A78:A79"/>
    <mergeCell ref="AE78:AE79"/>
    <mergeCell ref="A92:A93"/>
    <mergeCell ref="AE92:AE93"/>
    <mergeCell ref="A94:A95"/>
    <mergeCell ref="AE94:AE95"/>
    <mergeCell ref="A96:A97"/>
    <mergeCell ref="AE96:AE97"/>
    <mergeCell ref="A86:A87"/>
    <mergeCell ref="AE86:AE87"/>
    <mergeCell ref="A88:A89"/>
    <mergeCell ref="AE88:AE89"/>
    <mergeCell ref="A90:A91"/>
    <mergeCell ref="AE90:AE91"/>
    <mergeCell ref="A104:A105"/>
    <mergeCell ref="AE104:AE105"/>
    <mergeCell ref="A106:A107"/>
    <mergeCell ref="AE106:AE107"/>
    <mergeCell ref="A108:A109"/>
    <mergeCell ref="AE108:AE109"/>
    <mergeCell ref="A98:A99"/>
    <mergeCell ref="AE98:AE99"/>
    <mergeCell ref="A100:A101"/>
    <mergeCell ref="AE100:AE101"/>
    <mergeCell ref="A102:A103"/>
    <mergeCell ref="AE102:AE103"/>
    <mergeCell ref="A116:A117"/>
    <mergeCell ref="AE116:AE117"/>
    <mergeCell ref="A118:A119"/>
    <mergeCell ref="AE118:AE119"/>
    <mergeCell ref="A120:A121"/>
    <mergeCell ref="AE120:AE121"/>
    <mergeCell ref="A110:A111"/>
    <mergeCell ref="AE110:AE111"/>
    <mergeCell ref="A112:A113"/>
    <mergeCell ref="AE112:AE113"/>
    <mergeCell ref="A114:A115"/>
    <mergeCell ref="AE114:AE115"/>
    <mergeCell ref="A134:A135"/>
    <mergeCell ref="AE134:AE135"/>
    <mergeCell ref="A128:A129"/>
    <mergeCell ref="AE128:AE129"/>
    <mergeCell ref="A130:A131"/>
    <mergeCell ref="AE130:AE131"/>
    <mergeCell ref="A132:A133"/>
    <mergeCell ref="AE132:AE133"/>
    <mergeCell ref="A122:A123"/>
    <mergeCell ref="AE122:AE123"/>
    <mergeCell ref="A124:A125"/>
    <mergeCell ref="AE124:AE125"/>
    <mergeCell ref="A126:A127"/>
    <mergeCell ref="AE126:AE127"/>
  </mergeCells>
  <pageMargins left="0.12" right="0.21" top="0.33" bottom="0.35" header="0.3" footer="0.3"/>
  <pageSetup paperSize="9" scale="53" orientation="portrait" horizontalDpi="360" verticalDpi="360" r:id="rId1"/>
  <rowBreaks count="1" manualBreakCount="1">
    <brk id="71" max="26" man="1"/>
  </rowBreaks>
  <colBreaks count="1" manualBreakCount="1">
    <brk id="2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5"/>
  <sheetViews>
    <sheetView tabSelected="1" view="pageBreakPreview" zoomScaleNormal="100" zoomScaleSheetLayoutView="100" workbookViewId="0">
      <selection activeCell="C12" sqref="C12"/>
    </sheetView>
  </sheetViews>
  <sheetFormatPr defaultRowHeight="18.95" customHeight="1" x14ac:dyDescent="0.25"/>
  <cols>
    <col min="1" max="1" width="5.85546875" customWidth="1"/>
    <col min="2" max="2" width="48.7109375" style="35" customWidth="1"/>
    <col min="3" max="3" width="34" style="13" customWidth="1"/>
    <col min="4" max="4" width="3.28515625" customWidth="1"/>
    <col min="5" max="5" width="3" customWidth="1"/>
    <col min="6" max="6" width="1.5703125" customWidth="1"/>
    <col min="7" max="7" width="16.28515625" customWidth="1"/>
    <col min="8" max="8" width="2" customWidth="1"/>
    <col min="9" max="9" width="3.85546875" customWidth="1"/>
    <col min="10" max="10" width="1.5703125" customWidth="1"/>
    <col min="11" max="11" width="12" style="21" customWidth="1"/>
    <col min="12" max="12" width="2" style="21" customWidth="1"/>
    <col min="13" max="13" width="4.42578125" style="21" customWidth="1"/>
    <col min="14" max="14" width="1.5703125" style="21" customWidth="1"/>
    <col min="15" max="15" width="11.28515625" style="21" customWidth="1"/>
    <col min="16" max="16" width="2" style="21" customWidth="1"/>
    <col min="17" max="17" width="3.42578125" style="21" customWidth="1"/>
    <col min="18" max="18" width="1.5703125" style="21" customWidth="1"/>
    <col min="19" max="19" width="9.140625" customWidth="1"/>
    <col min="20" max="20" width="3" bestFit="1" customWidth="1"/>
    <col min="21" max="21" width="3" customWidth="1"/>
    <col min="22" max="22" width="1.5703125" customWidth="1"/>
    <col min="23" max="23" width="7.140625" customWidth="1"/>
    <col min="24" max="24" width="2" customWidth="1"/>
    <col min="25" max="25" width="3" customWidth="1"/>
    <col min="26" max="26" width="2.42578125" customWidth="1"/>
    <col min="27" max="27" width="8.7109375" customWidth="1"/>
    <col min="31" max="31" width="5.42578125" customWidth="1"/>
    <col min="32" max="32" width="19.5703125" style="71" bestFit="1" customWidth="1"/>
    <col min="33" max="33" width="37.28515625" bestFit="1" customWidth="1"/>
    <col min="34" max="34" width="8.5703125" customWidth="1"/>
    <col min="35" max="35" width="25.7109375" bestFit="1" customWidth="1"/>
  </cols>
  <sheetData>
    <row r="1" spans="1:35" ht="36" customHeight="1" x14ac:dyDescent="0.25">
      <c r="A1" s="26" t="s">
        <v>18</v>
      </c>
      <c r="B1" s="32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35" ht="18.95" customHeight="1" x14ac:dyDescent="0.35">
      <c r="A2" s="28" t="s">
        <v>19</v>
      </c>
      <c r="B2" s="33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35" ht="18.95" customHeight="1" x14ac:dyDescent="0.25">
      <c r="A3" s="27" t="s">
        <v>13</v>
      </c>
      <c r="B3" s="32"/>
      <c r="C3" s="25"/>
      <c r="D3" s="27" t="s">
        <v>14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35" ht="18.95" customHeight="1" x14ac:dyDescent="0.25">
      <c r="A4" s="27" t="s">
        <v>20</v>
      </c>
      <c r="B4" s="34"/>
      <c r="C4" s="25"/>
      <c r="D4" s="30" t="s">
        <v>21</v>
      </c>
      <c r="E4" s="29"/>
      <c r="F4" s="29"/>
      <c r="G4" s="29"/>
      <c r="H4" s="29"/>
      <c r="I4" s="29"/>
      <c r="J4" s="29"/>
      <c r="K4" s="48"/>
      <c r="L4" s="48"/>
      <c r="M4" s="48"/>
      <c r="N4" s="48"/>
      <c r="O4" s="48"/>
      <c r="P4" s="48"/>
      <c r="Q4" s="48"/>
      <c r="R4" s="48"/>
      <c r="S4" s="29"/>
      <c r="T4" s="29"/>
      <c r="U4" s="29"/>
      <c r="V4" s="29"/>
      <c r="W4" s="29"/>
      <c r="X4" s="29"/>
      <c r="Y4" s="29"/>
      <c r="Z4" s="29"/>
      <c r="AA4" s="29"/>
      <c r="AE4" s="11" t="str">
        <f>A4</f>
        <v>24 - 29 Agustus 2026</v>
      </c>
      <c r="AF4" s="72"/>
      <c r="AG4" s="12"/>
      <c r="AH4" s="12"/>
    </row>
    <row r="5" spans="1:35" ht="18.95" customHeight="1" thickBot="1" x14ac:dyDescent="0.3">
      <c r="C5" s="25"/>
    </row>
    <row r="6" spans="1:35" ht="18.95" customHeight="1" thickTop="1" thickBot="1" x14ac:dyDescent="0.3">
      <c r="A6" s="22" t="s">
        <v>0</v>
      </c>
      <c r="B6" s="36" t="s">
        <v>1</v>
      </c>
      <c r="C6" s="14" t="s">
        <v>2</v>
      </c>
      <c r="D6" s="84" t="s">
        <v>3</v>
      </c>
      <c r="E6" s="84"/>
      <c r="F6" s="84"/>
      <c r="G6" s="84"/>
      <c r="H6" s="84" t="s">
        <v>4</v>
      </c>
      <c r="I6" s="84"/>
      <c r="J6" s="84"/>
      <c r="K6" s="84"/>
      <c r="L6" s="84" t="s">
        <v>5</v>
      </c>
      <c r="M6" s="84"/>
      <c r="N6" s="84"/>
      <c r="O6" s="84"/>
      <c r="P6" s="84" t="s">
        <v>6</v>
      </c>
      <c r="Q6" s="84"/>
      <c r="R6" s="84"/>
      <c r="S6" s="84"/>
      <c r="T6" s="84" t="s">
        <v>7</v>
      </c>
      <c r="U6" s="84"/>
      <c r="V6" s="84"/>
      <c r="W6" s="84"/>
      <c r="X6" s="84"/>
      <c r="Y6" s="84"/>
      <c r="Z6" s="84"/>
      <c r="AA6" s="84"/>
      <c r="AE6" t="s">
        <v>8</v>
      </c>
    </row>
    <row r="7" spans="1:35" ht="18.95" customHeight="1" thickTop="1" x14ac:dyDescent="0.25">
      <c r="A7" s="10"/>
      <c r="B7" s="37"/>
      <c r="C7" s="1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F7" s="71" t="s">
        <v>15</v>
      </c>
      <c r="AG7" t="s">
        <v>16</v>
      </c>
    </row>
    <row r="8" spans="1:35" ht="18.95" customHeight="1" x14ac:dyDescent="0.35">
      <c r="A8" s="80">
        <v>1</v>
      </c>
      <c r="B8" s="69">
        <f>IFERROR(AF8,0)</f>
        <v>0</v>
      </c>
      <c r="C8" s="69" t="str">
        <f>IFERROR(AF9,0)</f>
        <v>MAXPLAY A (1)</v>
      </c>
      <c r="AE8" s="82">
        <v>1</v>
      </c>
      <c r="AF8" s="20"/>
      <c r="AG8" s="38"/>
    </row>
    <row r="9" spans="1:35" ht="21" customHeight="1" x14ac:dyDescent="0.35">
      <c r="A9" s="81"/>
      <c r="C9" s="66">
        <f>IFERROR(AF10,0)</f>
        <v>0</v>
      </c>
      <c r="AE9" s="83"/>
      <c r="AF9" s="38" t="s">
        <v>22</v>
      </c>
      <c r="AG9" s="38"/>
      <c r="AH9" t="s">
        <v>17</v>
      </c>
      <c r="AI9" t="str">
        <f>AF9</f>
        <v>MAXPLAY A (1)</v>
      </c>
    </row>
    <row r="10" spans="1:35" ht="21" customHeight="1" x14ac:dyDescent="0.35">
      <c r="A10" s="78">
        <v>2</v>
      </c>
      <c r="C10" s="67" t="str">
        <f>IFERROR(AF11,0)</f>
        <v>Bye</v>
      </c>
      <c r="AE10" s="77">
        <v>2</v>
      </c>
      <c r="AF10" s="38"/>
      <c r="AG10" s="38"/>
      <c r="AH10" t="s">
        <v>17</v>
      </c>
      <c r="AI10">
        <f t="shared" ref="AI10:AI71" si="0">AF10</f>
        <v>0</v>
      </c>
    </row>
    <row r="11" spans="1:35" ht="21" customHeight="1" x14ac:dyDescent="0.35">
      <c r="A11" s="79"/>
      <c r="C11" s="66">
        <f>IFERROR(AF12,0)</f>
        <v>0</v>
      </c>
      <c r="D11" s="16" t="s">
        <v>9</v>
      </c>
      <c r="E11" s="17">
        <v>1</v>
      </c>
      <c r="F11" s="17" t="s">
        <v>10</v>
      </c>
      <c r="G11" s="5"/>
      <c r="H11" s="21"/>
      <c r="I11" s="21"/>
      <c r="J11" s="21"/>
      <c r="AE11" s="77"/>
      <c r="AF11" s="38" t="s">
        <v>12</v>
      </c>
      <c r="AG11" s="38"/>
      <c r="AH11" t="s">
        <v>17</v>
      </c>
      <c r="AI11" t="str">
        <f t="shared" si="0"/>
        <v>Bye</v>
      </c>
    </row>
    <row r="12" spans="1:35" ht="21" customHeight="1" x14ac:dyDescent="0.35">
      <c r="A12" s="76">
        <v>3</v>
      </c>
      <c r="C12" s="67" t="str">
        <f>IFERROR(AF13,0)</f>
        <v>FAREZ B</v>
      </c>
      <c r="G12" s="3"/>
      <c r="AE12" s="77">
        <v>3</v>
      </c>
      <c r="AF12" s="38"/>
      <c r="AG12" s="38"/>
      <c r="AH12" t="s">
        <v>17</v>
      </c>
      <c r="AI12">
        <f t="shared" si="0"/>
        <v>0</v>
      </c>
    </row>
    <row r="13" spans="1:35" ht="21" customHeight="1" x14ac:dyDescent="0.35">
      <c r="A13" s="76"/>
      <c r="C13" s="66">
        <f>IFERROR(AF14,0)</f>
        <v>0</v>
      </c>
      <c r="G13" s="3"/>
      <c r="H13" s="16" t="s">
        <v>9</v>
      </c>
      <c r="I13" s="8">
        <v>17</v>
      </c>
      <c r="J13" s="8" t="s">
        <v>10</v>
      </c>
      <c r="K13" s="5"/>
      <c r="AE13" s="77"/>
      <c r="AF13" s="38" t="s">
        <v>23</v>
      </c>
      <c r="AG13" s="38"/>
      <c r="AH13" t="s">
        <v>17</v>
      </c>
      <c r="AI13" t="str">
        <f t="shared" si="0"/>
        <v>FAREZ B</v>
      </c>
    </row>
    <row r="14" spans="1:35" ht="21" customHeight="1" x14ac:dyDescent="0.35">
      <c r="A14" s="78">
        <v>4</v>
      </c>
      <c r="C14" s="67" t="str">
        <f>IFERROR(AF15,0)</f>
        <v>Bye</v>
      </c>
      <c r="D14" s="9"/>
      <c r="E14" s="9"/>
      <c r="F14" s="9"/>
      <c r="G14" s="2"/>
      <c r="K14" s="6"/>
      <c r="AE14" s="77">
        <v>4</v>
      </c>
      <c r="AF14" s="38"/>
      <c r="AG14" s="38"/>
      <c r="AH14" t="s">
        <v>17</v>
      </c>
      <c r="AI14">
        <f t="shared" si="0"/>
        <v>0</v>
      </c>
    </row>
    <row r="15" spans="1:35" ht="21" customHeight="1" x14ac:dyDescent="0.35">
      <c r="A15" s="79"/>
      <c r="C15" s="66">
        <f>IFERROR(AF16,0)</f>
        <v>0</v>
      </c>
      <c r="D15" s="16" t="s">
        <v>9</v>
      </c>
      <c r="E15" s="17">
        <f>E11+1</f>
        <v>2</v>
      </c>
      <c r="F15" s="17" t="s">
        <v>10</v>
      </c>
      <c r="G15" s="21"/>
      <c r="H15" s="21"/>
      <c r="I15" s="21"/>
      <c r="J15" s="21"/>
      <c r="K15" s="6"/>
      <c r="AE15" s="77"/>
      <c r="AF15" s="38" t="s">
        <v>12</v>
      </c>
      <c r="AG15" s="38"/>
      <c r="AH15" t="s">
        <v>17</v>
      </c>
      <c r="AI15" t="str">
        <f t="shared" si="0"/>
        <v>Bye</v>
      </c>
    </row>
    <row r="16" spans="1:35" ht="21" customHeight="1" x14ac:dyDescent="0.35">
      <c r="A16" s="76">
        <v>5</v>
      </c>
      <c r="C16" s="67" t="str">
        <f>IFERROR(AF17,0)</f>
        <v>ADS TEAM</v>
      </c>
      <c r="K16" s="6"/>
      <c r="AE16" s="77">
        <v>5</v>
      </c>
      <c r="AF16" s="38"/>
      <c r="AG16" s="38"/>
      <c r="AH16" t="s">
        <v>17</v>
      </c>
      <c r="AI16">
        <f t="shared" si="0"/>
        <v>0</v>
      </c>
    </row>
    <row r="17" spans="1:37" ht="21" customHeight="1" x14ac:dyDescent="0.35">
      <c r="A17" s="76"/>
      <c r="C17" s="66">
        <f>IFERROR(AF18,0)</f>
        <v>0</v>
      </c>
      <c r="K17" s="6"/>
      <c r="L17" s="18" t="s">
        <v>9</v>
      </c>
      <c r="M17" s="23">
        <v>25</v>
      </c>
      <c r="N17" s="23" t="s">
        <v>10</v>
      </c>
      <c r="O17" s="5"/>
      <c r="AE17" s="77"/>
      <c r="AF17" s="38" t="s">
        <v>24</v>
      </c>
      <c r="AG17" s="38"/>
      <c r="AH17" t="s">
        <v>17</v>
      </c>
      <c r="AI17" t="str">
        <f t="shared" si="0"/>
        <v>ADS TEAM</v>
      </c>
      <c r="AK17" s="38"/>
    </row>
    <row r="18" spans="1:37" ht="21" customHeight="1" x14ac:dyDescent="0.35">
      <c r="A18" s="78">
        <v>6</v>
      </c>
      <c r="C18" s="67" t="str">
        <f>IFERROR(AF19,0)</f>
        <v>Bye</v>
      </c>
      <c r="G18" s="21"/>
      <c r="H18" s="21"/>
      <c r="I18" s="21"/>
      <c r="J18" s="21"/>
      <c r="K18" s="6"/>
      <c r="O18" s="6"/>
      <c r="AE18" s="77">
        <v>6</v>
      </c>
      <c r="AF18" s="38"/>
      <c r="AG18" s="38"/>
      <c r="AH18" t="s">
        <v>17</v>
      </c>
      <c r="AI18">
        <f t="shared" si="0"/>
        <v>0</v>
      </c>
    </row>
    <row r="19" spans="1:37" ht="21" customHeight="1" x14ac:dyDescent="0.35">
      <c r="A19" s="79"/>
      <c r="C19" s="66">
        <f>IFERROR(AF20,0)</f>
        <v>0</v>
      </c>
      <c r="D19" s="16" t="s">
        <v>9</v>
      </c>
      <c r="E19" s="17">
        <f>E15+1</f>
        <v>3</v>
      </c>
      <c r="F19" s="17" t="s">
        <v>10</v>
      </c>
      <c r="G19" s="5"/>
      <c r="H19" s="21"/>
      <c r="I19" s="21"/>
      <c r="J19" s="21"/>
      <c r="K19" s="6"/>
      <c r="O19" s="6"/>
      <c r="AE19" s="77"/>
      <c r="AF19" s="38" t="s">
        <v>12</v>
      </c>
      <c r="AG19" s="38"/>
      <c r="AH19" t="s">
        <v>17</v>
      </c>
      <c r="AI19" t="str">
        <f t="shared" si="0"/>
        <v>Bye</v>
      </c>
    </row>
    <row r="20" spans="1:37" ht="21" customHeight="1" x14ac:dyDescent="0.35">
      <c r="A20" s="76">
        <v>7</v>
      </c>
      <c r="C20" s="67" t="str">
        <f>IFERROR(AF21,0)</f>
        <v>WICINDO</v>
      </c>
      <c r="G20" s="6"/>
      <c r="H20" s="24"/>
      <c r="I20" s="24"/>
      <c r="J20" s="24"/>
      <c r="K20" s="7"/>
      <c r="O20" s="6"/>
      <c r="AE20" s="77">
        <v>7</v>
      </c>
      <c r="AF20" s="38"/>
      <c r="AG20" s="38"/>
      <c r="AH20" t="s">
        <v>17</v>
      </c>
      <c r="AI20">
        <f t="shared" si="0"/>
        <v>0</v>
      </c>
    </row>
    <row r="21" spans="1:37" ht="21" customHeight="1" x14ac:dyDescent="0.35">
      <c r="A21" s="76"/>
      <c r="C21" s="66">
        <f>IFERROR(AF22,0)</f>
        <v>0</v>
      </c>
      <c r="G21" s="6"/>
      <c r="H21" s="21" t="s">
        <v>9</v>
      </c>
      <c r="I21" s="21">
        <f>1+I13</f>
        <v>18</v>
      </c>
      <c r="J21" s="21" t="s">
        <v>10</v>
      </c>
      <c r="O21" s="6"/>
      <c r="AE21" s="77"/>
      <c r="AF21" s="38" t="s">
        <v>25</v>
      </c>
      <c r="AG21" s="38"/>
      <c r="AH21" t="s">
        <v>17</v>
      </c>
      <c r="AI21" t="str">
        <f t="shared" si="0"/>
        <v>WICINDO</v>
      </c>
    </row>
    <row r="22" spans="1:37" ht="21" customHeight="1" x14ac:dyDescent="0.35">
      <c r="A22" s="78">
        <v>8</v>
      </c>
      <c r="C22" s="67" t="str">
        <f>IFERROR(AF23,0)</f>
        <v>WORKER</v>
      </c>
      <c r="D22" s="9"/>
      <c r="E22" s="9"/>
      <c r="F22" s="9"/>
      <c r="G22" s="7"/>
      <c r="H22" s="21"/>
      <c r="I22" s="21"/>
      <c r="J22" s="21"/>
      <c r="O22" s="6"/>
      <c r="AE22" s="77">
        <v>8</v>
      </c>
      <c r="AF22" s="38"/>
      <c r="AG22" s="38"/>
      <c r="AH22" t="s">
        <v>17</v>
      </c>
      <c r="AI22">
        <f t="shared" si="0"/>
        <v>0</v>
      </c>
    </row>
    <row r="23" spans="1:37" ht="21" customHeight="1" x14ac:dyDescent="0.35">
      <c r="A23" s="79"/>
      <c r="C23" s="66">
        <f>IFERROR(AF24,0)</f>
        <v>0</v>
      </c>
      <c r="D23" s="16" t="s">
        <v>9</v>
      </c>
      <c r="E23" s="17">
        <f>E19+1</f>
        <v>4</v>
      </c>
      <c r="F23" s="17" t="s">
        <v>10</v>
      </c>
      <c r="G23" s="21"/>
      <c r="H23" s="21"/>
      <c r="I23" s="21"/>
      <c r="J23" s="21"/>
      <c r="O23" s="6"/>
      <c r="AE23" s="77"/>
      <c r="AF23" s="38" t="s">
        <v>26</v>
      </c>
      <c r="AG23" s="38"/>
      <c r="AH23" t="s">
        <v>17</v>
      </c>
      <c r="AI23" t="str">
        <f t="shared" si="0"/>
        <v>WORKER</v>
      </c>
    </row>
    <row r="24" spans="1:37" ht="21" customHeight="1" x14ac:dyDescent="0.35">
      <c r="A24" s="76">
        <v>9</v>
      </c>
      <c r="C24" s="67" t="str">
        <f>IFERROR(AF25,0)</f>
        <v>HARFANAS B (3/4)</v>
      </c>
      <c r="G24" s="21"/>
      <c r="H24" s="21"/>
      <c r="I24" s="21"/>
      <c r="J24" s="21"/>
      <c r="O24" s="6"/>
      <c r="AE24" s="77">
        <v>9</v>
      </c>
      <c r="AF24" s="38"/>
      <c r="AG24" s="38"/>
      <c r="AH24" t="s">
        <v>17</v>
      </c>
      <c r="AI24">
        <f t="shared" si="0"/>
        <v>0</v>
      </c>
    </row>
    <row r="25" spans="1:37" ht="21" customHeight="1" x14ac:dyDescent="0.35">
      <c r="A25" s="76"/>
      <c r="C25" s="66">
        <f>IFERROR(AF26,0)</f>
        <v>0</v>
      </c>
      <c r="G25" s="21"/>
      <c r="H25" s="21"/>
      <c r="I25" s="21"/>
      <c r="J25" s="21"/>
      <c r="O25" s="6"/>
      <c r="P25" s="18" t="s">
        <v>9</v>
      </c>
      <c r="Q25" s="23">
        <v>29</v>
      </c>
      <c r="R25" s="23" t="s">
        <v>10</v>
      </c>
      <c r="S25" s="1"/>
      <c r="AE25" s="77"/>
      <c r="AF25" s="38" t="s">
        <v>27</v>
      </c>
      <c r="AG25" s="38"/>
      <c r="AH25" t="s">
        <v>17</v>
      </c>
      <c r="AI25" t="str">
        <f t="shared" si="0"/>
        <v>HARFANAS B (3/4)</v>
      </c>
    </row>
    <row r="26" spans="1:37" ht="21" customHeight="1" x14ac:dyDescent="0.35">
      <c r="A26" s="78">
        <v>10</v>
      </c>
      <c r="C26" s="67" t="str">
        <f>IFERROR(AF27,0)</f>
        <v>Bye</v>
      </c>
      <c r="G26" s="21"/>
      <c r="H26" s="21"/>
      <c r="I26" s="21"/>
      <c r="J26" s="21"/>
      <c r="O26" s="6"/>
      <c r="S26" s="3"/>
      <c r="AE26" s="77">
        <v>10</v>
      </c>
      <c r="AF26" s="38"/>
      <c r="AG26" s="38"/>
      <c r="AH26" t="s">
        <v>17</v>
      </c>
      <c r="AI26">
        <f t="shared" si="0"/>
        <v>0</v>
      </c>
    </row>
    <row r="27" spans="1:37" ht="21" customHeight="1" x14ac:dyDescent="0.35">
      <c r="A27" s="79"/>
      <c r="C27" s="66">
        <f>IFERROR(AF28,0)</f>
        <v>0</v>
      </c>
      <c r="D27" s="16" t="s">
        <v>9</v>
      </c>
      <c r="E27" s="17">
        <f>E23+1</f>
        <v>5</v>
      </c>
      <c r="F27" s="17" t="s">
        <v>10</v>
      </c>
      <c r="G27" s="5"/>
      <c r="H27" s="21"/>
      <c r="I27" s="21"/>
      <c r="J27" s="21"/>
      <c r="O27" s="6"/>
      <c r="S27" s="3"/>
      <c r="AE27" s="77"/>
      <c r="AF27" s="38" t="s">
        <v>12</v>
      </c>
      <c r="AG27" s="38"/>
      <c r="AH27" t="s">
        <v>17</v>
      </c>
      <c r="AI27" t="str">
        <f t="shared" si="0"/>
        <v>Bye</v>
      </c>
    </row>
    <row r="28" spans="1:37" ht="21" customHeight="1" x14ac:dyDescent="0.35">
      <c r="A28" s="76">
        <v>11</v>
      </c>
      <c r="C28" s="67" t="str">
        <f>IFERROR(AF29,0)</f>
        <v>ATHENA</v>
      </c>
      <c r="G28" s="6"/>
      <c r="H28" s="21"/>
      <c r="I28" s="21"/>
      <c r="J28" s="21"/>
      <c r="O28" s="6"/>
      <c r="S28" s="3"/>
      <c r="AE28" s="77">
        <v>11</v>
      </c>
      <c r="AF28" s="38"/>
      <c r="AG28" s="38"/>
      <c r="AH28" t="s">
        <v>17</v>
      </c>
      <c r="AI28">
        <f t="shared" si="0"/>
        <v>0</v>
      </c>
    </row>
    <row r="29" spans="1:37" ht="21" customHeight="1" x14ac:dyDescent="0.35">
      <c r="A29" s="76"/>
      <c r="C29" s="66">
        <f>IFERROR(AF30,0)</f>
        <v>0</v>
      </c>
      <c r="G29" s="6"/>
      <c r="H29" s="8" t="s">
        <v>9</v>
      </c>
      <c r="I29" s="8">
        <f>1+I21</f>
        <v>19</v>
      </c>
      <c r="J29" s="8" t="s">
        <v>10</v>
      </c>
      <c r="K29" s="5"/>
      <c r="O29" s="6"/>
      <c r="S29" s="3"/>
      <c r="AE29" s="77"/>
      <c r="AF29" s="38" t="s">
        <v>28</v>
      </c>
      <c r="AG29" s="38"/>
      <c r="AH29" t="s">
        <v>17</v>
      </c>
      <c r="AI29" t="str">
        <f t="shared" si="0"/>
        <v>ATHENA</v>
      </c>
    </row>
    <row r="30" spans="1:37" ht="21" customHeight="1" x14ac:dyDescent="0.35">
      <c r="A30" s="78">
        <v>12</v>
      </c>
      <c r="C30" s="67" t="str">
        <f>IFERROR(AF31,0)</f>
        <v>CYBER A</v>
      </c>
      <c r="D30" s="9"/>
      <c r="E30" s="9"/>
      <c r="F30" s="9"/>
      <c r="G30" s="7"/>
      <c r="K30" s="6"/>
      <c r="O30" s="6"/>
      <c r="S30" s="3"/>
      <c r="AE30" s="77">
        <v>12</v>
      </c>
      <c r="AF30" s="38"/>
      <c r="AG30" s="38"/>
      <c r="AH30" t="s">
        <v>17</v>
      </c>
      <c r="AI30">
        <f t="shared" si="0"/>
        <v>0</v>
      </c>
    </row>
    <row r="31" spans="1:37" ht="21" customHeight="1" x14ac:dyDescent="0.35">
      <c r="A31" s="79"/>
      <c r="C31" s="66">
        <f>IFERROR(AF32,0)</f>
        <v>0</v>
      </c>
      <c r="D31" s="16" t="s">
        <v>9</v>
      </c>
      <c r="E31" s="17">
        <f>E27+1</f>
        <v>6</v>
      </c>
      <c r="F31" s="17" t="s">
        <v>10</v>
      </c>
      <c r="G31" s="21"/>
      <c r="H31" s="21"/>
      <c r="I31" s="21"/>
      <c r="J31" s="21"/>
      <c r="K31" s="6"/>
      <c r="O31" s="6"/>
      <c r="S31" s="3"/>
      <c r="AE31" s="77"/>
      <c r="AF31" s="38" t="s">
        <v>29</v>
      </c>
      <c r="AG31" s="38"/>
      <c r="AH31" t="s">
        <v>17</v>
      </c>
      <c r="AI31" t="str">
        <f t="shared" si="0"/>
        <v>CYBER A</v>
      </c>
    </row>
    <row r="32" spans="1:37" ht="21" customHeight="1" x14ac:dyDescent="0.35">
      <c r="A32" s="76">
        <v>13</v>
      </c>
      <c r="C32" s="67" t="str">
        <f>IFERROR(AF33,0)</f>
        <v>BAYAN B</v>
      </c>
      <c r="G32" s="21"/>
      <c r="K32" s="6"/>
      <c r="L32" s="24"/>
      <c r="M32" s="24"/>
      <c r="N32" s="24"/>
      <c r="O32" s="7"/>
      <c r="S32" s="3"/>
      <c r="AE32" s="77">
        <v>13</v>
      </c>
      <c r="AF32" s="38"/>
      <c r="AG32" s="38"/>
      <c r="AH32" t="s">
        <v>17</v>
      </c>
      <c r="AI32">
        <f t="shared" si="0"/>
        <v>0</v>
      </c>
    </row>
    <row r="33" spans="1:38" ht="21" customHeight="1" x14ac:dyDescent="0.35">
      <c r="A33" s="76"/>
      <c r="C33" s="66">
        <f>IFERROR(AF34,0)</f>
        <v>0</v>
      </c>
      <c r="G33" s="21"/>
      <c r="K33" s="6"/>
      <c r="L33" s="18" t="s">
        <v>9</v>
      </c>
      <c r="M33" s="23">
        <f>1+M17</f>
        <v>26</v>
      </c>
      <c r="N33" s="23" t="s">
        <v>10</v>
      </c>
      <c r="S33" s="3"/>
      <c r="AE33" s="77"/>
      <c r="AF33" s="38" t="s">
        <v>30</v>
      </c>
      <c r="AG33" s="38"/>
      <c r="AH33" t="s">
        <v>17</v>
      </c>
      <c r="AI33" t="str">
        <f t="shared" si="0"/>
        <v>BAYAN B</v>
      </c>
    </row>
    <row r="34" spans="1:38" ht="21" customHeight="1" x14ac:dyDescent="0.35">
      <c r="A34" s="78">
        <v>14</v>
      </c>
      <c r="C34" s="67" t="str">
        <f>IFERROR(AF35,0)</f>
        <v>Bye</v>
      </c>
      <c r="G34" s="21"/>
      <c r="H34" s="21"/>
      <c r="I34" s="21"/>
      <c r="J34" s="21"/>
      <c r="K34" s="6"/>
      <c r="S34" s="3"/>
      <c r="AE34" s="77">
        <v>14</v>
      </c>
      <c r="AF34" s="38"/>
      <c r="AG34" s="38"/>
      <c r="AH34" t="s">
        <v>17</v>
      </c>
      <c r="AI34">
        <f t="shared" si="0"/>
        <v>0</v>
      </c>
    </row>
    <row r="35" spans="1:38" ht="21" customHeight="1" x14ac:dyDescent="0.35">
      <c r="A35" s="79"/>
      <c r="C35" s="66">
        <f>IFERROR(AF36,0)</f>
        <v>0</v>
      </c>
      <c r="D35" s="16" t="s">
        <v>9</v>
      </c>
      <c r="E35" s="17">
        <f>E31+1</f>
        <v>7</v>
      </c>
      <c r="F35" s="17" t="s">
        <v>10</v>
      </c>
      <c r="G35" s="5"/>
      <c r="H35" s="21"/>
      <c r="I35" s="21"/>
      <c r="J35" s="21"/>
      <c r="K35" s="6"/>
      <c r="S35" s="3"/>
      <c r="AE35" s="77"/>
      <c r="AF35" s="38" t="s">
        <v>12</v>
      </c>
      <c r="AG35" s="38"/>
      <c r="AH35" t="s">
        <v>17</v>
      </c>
      <c r="AI35" t="str">
        <f t="shared" si="0"/>
        <v>Bye</v>
      </c>
    </row>
    <row r="36" spans="1:38" ht="21" customHeight="1" x14ac:dyDescent="0.35">
      <c r="A36" s="76">
        <v>15</v>
      </c>
      <c r="C36" s="67" t="str">
        <f>IFERROR(AF37,0)</f>
        <v>ASKIF</v>
      </c>
      <c r="G36" s="6"/>
      <c r="H36" s="24"/>
      <c r="I36" s="24"/>
      <c r="J36" s="24"/>
      <c r="K36" s="7"/>
      <c r="S36" s="3"/>
      <c r="AE36" s="77">
        <v>15</v>
      </c>
      <c r="AF36" s="38"/>
      <c r="AG36" s="38"/>
      <c r="AH36" t="s">
        <v>17</v>
      </c>
      <c r="AI36">
        <f t="shared" si="0"/>
        <v>0</v>
      </c>
    </row>
    <row r="37" spans="1:38" ht="21" customHeight="1" x14ac:dyDescent="0.35">
      <c r="A37" s="76"/>
      <c r="C37" s="66">
        <f>IFERROR(AF38,0)</f>
        <v>0</v>
      </c>
      <c r="G37" s="6"/>
      <c r="H37" s="21" t="s">
        <v>9</v>
      </c>
      <c r="I37" s="21">
        <f>1+I29</f>
        <v>20</v>
      </c>
      <c r="J37" s="21" t="s">
        <v>10</v>
      </c>
      <c r="S37" s="3"/>
      <c r="AE37" s="77"/>
      <c r="AF37" s="38" t="s">
        <v>31</v>
      </c>
      <c r="AG37" s="38"/>
      <c r="AH37" t="s">
        <v>17</v>
      </c>
      <c r="AI37" t="str">
        <f t="shared" si="0"/>
        <v>ASKIF</v>
      </c>
    </row>
    <row r="38" spans="1:38" ht="21" customHeight="1" x14ac:dyDescent="0.35">
      <c r="A38" s="78">
        <v>16</v>
      </c>
      <c r="C38" s="67" t="str">
        <f>IFERROR(AF39,0)</f>
        <v>PACIFIC B</v>
      </c>
      <c r="D38" s="9"/>
      <c r="E38" s="9"/>
      <c r="F38" s="9"/>
      <c r="G38" s="7"/>
      <c r="H38" s="21"/>
      <c r="I38" s="21"/>
      <c r="J38" s="21"/>
      <c r="S38" s="3"/>
      <c r="AE38" s="77">
        <v>16</v>
      </c>
      <c r="AF38" s="38"/>
      <c r="AG38" s="38"/>
      <c r="AH38" t="s">
        <v>17</v>
      </c>
      <c r="AI38">
        <f t="shared" si="0"/>
        <v>0</v>
      </c>
    </row>
    <row r="39" spans="1:38" ht="21" customHeight="1" x14ac:dyDescent="0.35">
      <c r="A39" s="79"/>
      <c r="C39" s="66">
        <f>IFERROR(AF40,0)</f>
        <v>0</v>
      </c>
      <c r="D39" s="16" t="s">
        <v>9</v>
      </c>
      <c r="E39" s="17">
        <f>E35+1</f>
        <v>8</v>
      </c>
      <c r="F39" s="17" t="s">
        <v>10</v>
      </c>
      <c r="G39" s="21"/>
      <c r="H39" s="21"/>
      <c r="I39" s="21"/>
      <c r="J39" s="21"/>
      <c r="S39" s="3"/>
      <c r="AE39" s="77"/>
      <c r="AF39" s="38" t="s">
        <v>32</v>
      </c>
      <c r="AG39" s="38"/>
      <c r="AH39" t="s">
        <v>17</v>
      </c>
      <c r="AI39" t="str">
        <f t="shared" si="0"/>
        <v>PACIFIC B</v>
      </c>
      <c r="AK39" s="20"/>
      <c r="AL39" s="38"/>
    </row>
    <row r="40" spans="1:38" ht="21" customHeight="1" x14ac:dyDescent="0.35">
      <c r="A40" s="76">
        <v>17</v>
      </c>
      <c r="C40" s="67" t="str">
        <f>IFERROR(AF41,0)</f>
        <v>PACIFIC A</v>
      </c>
      <c r="G40" s="21"/>
      <c r="H40" s="21"/>
      <c r="I40" s="21"/>
      <c r="J40" s="21"/>
      <c r="S40" s="3"/>
      <c r="T40" s="19"/>
      <c r="W40" s="9"/>
      <c r="AE40" s="77">
        <v>17</v>
      </c>
      <c r="AF40" s="38"/>
      <c r="AG40" s="38"/>
      <c r="AH40" t="s">
        <v>17</v>
      </c>
      <c r="AI40">
        <f t="shared" si="0"/>
        <v>0</v>
      </c>
    </row>
    <row r="41" spans="1:38" ht="21" customHeight="1" x14ac:dyDescent="0.35">
      <c r="A41" s="76"/>
      <c r="C41" s="66">
        <f>IFERROR(AF42,0)</f>
        <v>0</v>
      </c>
      <c r="G41" s="21"/>
      <c r="H41" s="21"/>
      <c r="I41" s="21"/>
      <c r="J41" s="21"/>
      <c r="S41" s="3"/>
      <c r="T41" s="18" t="s">
        <v>9</v>
      </c>
      <c r="U41" s="23">
        <v>31</v>
      </c>
      <c r="V41" s="23" t="s">
        <v>10</v>
      </c>
      <c r="W41" s="8"/>
      <c r="AE41" s="77"/>
      <c r="AF41" s="38" t="s">
        <v>33</v>
      </c>
      <c r="AG41" s="38"/>
      <c r="AH41" t="s">
        <v>17</v>
      </c>
      <c r="AI41" t="str">
        <f t="shared" si="0"/>
        <v>PACIFIC A</v>
      </c>
    </row>
    <row r="42" spans="1:38" ht="21" customHeight="1" x14ac:dyDescent="0.35">
      <c r="A42" s="78">
        <v>18</v>
      </c>
      <c r="C42" s="67" t="str">
        <f>IFERROR(AF43,0)</f>
        <v>BHAYANGKARA</v>
      </c>
      <c r="G42" s="21"/>
      <c r="H42" s="21"/>
      <c r="I42" s="21"/>
      <c r="J42" s="21"/>
      <c r="S42" s="3"/>
      <c r="AE42" s="77">
        <v>18</v>
      </c>
      <c r="AF42" s="38"/>
      <c r="AG42" s="38"/>
      <c r="AH42" t="s">
        <v>17</v>
      </c>
      <c r="AI42">
        <f t="shared" si="0"/>
        <v>0</v>
      </c>
    </row>
    <row r="43" spans="1:38" ht="21" customHeight="1" x14ac:dyDescent="0.35">
      <c r="A43" s="79"/>
      <c r="C43" s="66">
        <f>IFERROR(AF44,0)</f>
        <v>0</v>
      </c>
      <c r="D43" s="16" t="s">
        <v>9</v>
      </c>
      <c r="E43" s="17">
        <f>E39+1</f>
        <v>9</v>
      </c>
      <c r="F43" s="17" t="s">
        <v>10</v>
      </c>
      <c r="G43" s="5"/>
      <c r="H43" s="21"/>
      <c r="I43" s="21"/>
      <c r="J43" s="21"/>
      <c r="S43" s="3"/>
      <c r="AE43" s="77"/>
      <c r="AF43" s="38" t="s">
        <v>34</v>
      </c>
      <c r="AG43" s="38"/>
      <c r="AH43" t="s">
        <v>17</v>
      </c>
      <c r="AI43" t="str">
        <f t="shared" si="0"/>
        <v>BHAYANGKARA</v>
      </c>
      <c r="AK43" s="38"/>
    </row>
    <row r="44" spans="1:38" ht="21" customHeight="1" x14ac:dyDescent="0.35">
      <c r="A44" s="76">
        <v>19</v>
      </c>
      <c r="C44" s="67" t="str">
        <f>IFERROR(AF45,0)</f>
        <v>Bye</v>
      </c>
      <c r="G44" s="6"/>
      <c r="H44" s="21"/>
      <c r="I44" s="21"/>
      <c r="J44" s="21"/>
      <c r="S44" s="3"/>
      <c r="AE44" s="77">
        <v>19</v>
      </c>
      <c r="AF44" s="20"/>
      <c r="AH44" t="s">
        <v>17</v>
      </c>
      <c r="AI44">
        <f t="shared" si="0"/>
        <v>0</v>
      </c>
    </row>
    <row r="45" spans="1:38" ht="21" customHeight="1" x14ac:dyDescent="0.35">
      <c r="A45" s="76"/>
      <c r="C45" s="66">
        <f>IFERROR(AF46,0)</f>
        <v>0</v>
      </c>
      <c r="G45" s="6"/>
      <c r="H45" s="8" t="s">
        <v>9</v>
      </c>
      <c r="I45" s="8">
        <f>1+I37</f>
        <v>21</v>
      </c>
      <c r="J45" s="8" t="s">
        <v>10</v>
      </c>
      <c r="K45" s="5"/>
      <c r="S45" s="3"/>
      <c r="AE45" s="77"/>
      <c r="AF45" s="38" t="s">
        <v>12</v>
      </c>
      <c r="AG45" s="38"/>
      <c r="AH45" t="s">
        <v>17</v>
      </c>
      <c r="AI45" t="str">
        <f t="shared" si="0"/>
        <v>Bye</v>
      </c>
    </row>
    <row r="46" spans="1:38" ht="21" customHeight="1" x14ac:dyDescent="0.35">
      <c r="A46" s="78">
        <v>20</v>
      </c>
      <c r="C46" s="67" t="str">
        <f>IFERROR(AF47,0)</f>
        <v>KARUNIA PRIMATAMA</v>
      </c>
      <c r="D46" s="9"/>
      <c r="E46" s="9"/>
      <c r="F46" s="9"/>
      <c r="G46" s="7"/>
      <c r="K46" s="6"/>
      <c r="S46" s="3"/>
      <c r="AE46" s="77">
        <v>20</v>
      </c>
      <c r="AF46" s="38"/>
      <c r="AG46" s="38"/>
      <c r="AH46" t="s">
        <v>17</v>
      </c>
      <c r="AI46">
        <f t="shared" si="0"/>
        <v>0</v>
      </c>
    </row>
    <row r="47" spans="1:38" ht="21" customHeight="1" x14ac:dyDescent="0.35">
      <c r="A47" s="79"/>
      <c r="C47" s="66">
        <f>IFERROR(AF48,0)</f>
        <v>0</v>
      </c>
      <c r="D47" s="16" t="s">
        <v>9</v>
      </c>
      <c r="E47" s="17">
        <f>E43+1</f>
        <v>10</v>
      </c>
      <c r="F47" s="17" t="s">
        <v>10</v>
      </c>
      <c r="G47" s="21"/>
      <c r="H47" s="21"/>
      <c r="I47" s="21"/>
      <c r="J47" s="21"/>
      <c r="K47" s="6"/>
      <c r="S47" s="3"/>
      <c r="AE47" s="77"/>
      <c r="AF47" s="38" t="s">
        <v>35</v>
      </c>
      <c r="AG47" s="38"/>
      <c r="AH47" t="s">
        <v>17</v>
      </c>
      <c r="AI47" t="str">
        <f t="shared" si="0"/>
        <v>KARUNIA PRIMATAMA</v>
      </c>
    </row>
    <row r="48" spans="1:38" ht="21" customHeight="1" x14ac:dyDescent="0.35">
      <c r="A48" s="76">
        <v>21</v>
      </c>
      <c r="C48" s="67" t="str">
        <f>IFERROR(AF49,0)</f>
        <v>KARUNIA GRUP</v>
      </c>
      <c r="G48" s="21"/>
      <c r="K48" s="6"/>
      <c r="S48" s="3"/>
      <c r="AE48" s="77">
        <v>21</v>
      </c>
      <c r="AF48" s="38"/>
      <c r="AG48" s="38"/>
      <c r="AH48" t="s">
        <v>17</v>
      </c>
      <c r="AI48">
        <f t="shared" si="0"/>
        <v>0</v>
      </c>
    </row>
    <row r="49" spans="1:35" ht="21" customHeight="1" x14ac:dyDescent="0.35">
      <c r="A49" s="76"/>
      <c r="C49" s="66">
        <f>IFERROR(AF50,0)</f>
        <v>0</v>
      </c>
      <c r="G49" s="21"/>
      <c r="K49" s="6"/>
      <c r="L49" s="18" t="s">
        <v>9</v>
      </c>
      <c r="M49" s="23">
        <f>1+M33</f>
        <v>27</v>
      </c>
      <c r="N49" s="23" t="s">
        <v>10</v>
      </c>
      <c r="O49" s="5"/>
      <c r="S49" s="3"/>
      <c r="AE49" s="77"/>
      <c r="AF49" s="38" t="s">
        <v>36</v>
      </c>
      <c r="AG49" s="38"/>
      <c r="AH49" t="s">
        <v>17</v>
      </c>
      <c r="AI49" t="str">
        <f t="shared" si="0"/>
        <v>KARUNIA GRUP</v>
      </c>
    </row>
    <row r="50" spans="1:35" ht="21" customHeight="1" x14ac:dyDescent="0.35">
      <c r="A50" s="78">
        <v>22</v>
      </c>
      <c r="C50" s="67" t="str">
        <f>IFERROR(AF51,0)</f>
        <v>CYBER B</v>
      </c>
      <c r="G50" s="21"/>
      <c r="H50" s="21"/>
      <c r="I50" s="21"/>
      <c r="J50" s="21"/>
      <c r="K50" s="6"/>
      <c r="O50" s="6"/>
      <c r="S50" s="3"/>
      <c r="AE50" s="77">
        <v>22</v>
      </c>
      <c r="AF50" s="38"/>
      <c r="AG50" s="38"/>
      <c r="AH50" t="s">
        <v>17</v>
      </c>
      <c r="AI50">
        <f t="shared" si="0"/>
        <v>0</v>
      </c>
    </row>
    <row r="51" spans="1:35" ht="21" customHeight="1" x14ac:dyDescent="0.35">
      <c r="A51" s="79"/>
      <c r="C51" s="66">
        <f>IFERROR(AF52,0)</f>
        <v>0</v>
      </c>
      <c r="D51" s="16" t="s">
        <v>9</v>
      </c>
      <c r="E51" s="17">
        <f>E47+1</f>
        <v>11</v>
      </c>
      <c r="F51" s="17" t="s">
        <v>10</v>
      </c>
      <c r="G51" s="5"/>
      <c r="H51" s="21"/>
      <c r="I51" s="21"/>
      <c r="J51" s="21"/>
      <c r="K51" s="6"/>
      <c r="O51" s="6"/>
      <c r="S51" s="3"/>
      <c r="AE51" s="77"/>
      <c r="AF51" s="38" t="s">
        <v>37</v>
      </c>
      <c r="AG51" s="38"/>
      <c r="AH51" t="s">
        <v>17</v>
      </c>
      <c r="AI51" t="str">
        <f t="shared" si="0"/>
        <v>CYBER B</v>
      </c>
    </row>
    <row r="52" spans="1:35" ht="21" customHeight="1" x14ac:dyDescent="0.35">
      <c r="A52" s="76">
        <v>23</v>
      </c>
      <c r="C52" s="67" t="str">
        <f>IFERROR(AF53,0)</f>
        <v>Bye</v>
      </c>
      <c r="G52" s="6"/>
      <c r="H52" s="24"/>
      <c r="I52" s="24"/>
      <c r="J52" s="24"/>
      <c r="K52" s="7"/>
      <c r="O52" s="6"/>
      <c r="S52" s="3"/>
      <c r="AE52" s="77">
        <v>23</v>
      </c>
      <c r="AF52" s="38"/>
      <c r="AG52" s="38"/>
      <c r="AH52" t="s">
        <v>17</v>
      </c>
      <c r="AI52">
        <f t="shared" si="0"/>
        <v>0</v>
      </c>
    </row>
    <row r="53" spans="1:35" ht="21" customHeight="1" x14ac:dyDescent="0.35">
      <c r="A53" s="76"/>
      <c r="C53" s="66">
        <f>IFERROR(AF54,0)</f>
        <v>0</v>
      </c>
      <c r="G53" s="6"/>
      <c r="H53" s="21" t="s">
        <v>9</v>
      </c>
      <c r="I53" s="21">
        <f>1+I45</f>
        <v>22</v>
      </c>
      <c r="J53" s="21" t="s">
        <v>10</v>
      </c>
      <c r="O53" s="6"/>
      <c r="S53" s="3"/>
      <c r="AE53" s="77"/>
      <c r="AF53" s="38" t="s">
        <v>12</v>
      </c>
      <c r="AG53" s="38"/>
      <c r="AH53" t="s">
        <v>17</v>
      </c>
      <c r="AI53" t="str">
        <f t="shared" si="0"/>
        <v>Bye</v>
      </c>
    </row>
    <row r="54" spans="1:35" ht="21" customHeight="1" x14ac:dyDescent="0.35">
      <c r="A54" s="78">
        <v>24</v>
      </c>
      <c r="C54" s="67" t="str">
        <f>IFERROR(AF55,0)</f>
        <v>BAYAN A (3/4)</v>
      </c>
      <c r="D54" s="9"/>
      <c r="E54" s="9"/>
      <c r="F54" s="9"/>
      <c r="G54" s="7"/>
      <c r="H54" s="21"/>
      <c r="I54" s="21"/>
      <c r="J54" s="21"/>
      <c r="O54" s="6"/>
      <c r="S54" s="3"/>
      <c r="AE54" s="77">
        <v>24</v>
      </c>
      <c r="AF54" s="38"/>
      <c r="AG54" s="38"/>
      <c r="AH54" t="s">
        <v>17</v>
      </c>
      <c r="AI54">
        <f t="shared" si="0"/>
        <v>0</v>
      </c>
    </row>
    <row r="55" spans="1:35" ht="21" customHeight="1" x14ac:dyDescent="0.35">
      <c r="A55" s="79"/>
      <c r="C55" s="66">
        <f>IFERROR(AF56,0)</f>
        <v>0</v>
      </c>
      <c r="D55" s="16" t="s">
        <v>9</v>
      </c>
      <c r="E55" s="17">
        <f>E51+1</f>
        <v>12</v>
      </c>
      <c r="F55" s="17" t="s">
        <v>10</v>
      </c>
      <c r="G55" s="21"/>
      <c r="H55" s="21"/>
      <c r="I55" s="21"/>
      <c r="J55" s="21"/>
      <c r="O55" s="6"/>
      <c r="S55" s="3"/>
      <c r="AE55" s="77"/>
      <c r="AF55" s="73" t="s">
        <v>38</v>
      </c>
      <c r="AG55" s="38"/>
      <c r="AH55" t="s">
        <v>17</v>
      </c>
      <c r="AI55" t="str">
        <f t="shared" si="0"/>
        <v>BAYAN A (3/4)</v>
      </c>
    </row>
    <row r="56" spans="1:35" ht="21" customHeight="1" x14ac:dyDescent="0.35">
      <c r="A56" s="76">
        <v>25</v>
      </c>
      <c r="C56" s="67" t="str">
        <f>IFERROR(AF57,0)</f>
        <v>SUCOFINDO</v>
      </c>
      <c r="G56" s="21"/>
      <c r="H56" s="21"/>
      <c r="I56" s="21"/>
      <c r="J56" s="21"/>
      <c r="O56" s="6"/>
      <c r="P56" s="24"/>
      <c r="Q56" s="24"/>
      <c r="R56" s="24"/>
      <c r="S56" s="2"/>
      <c r="AE56" s="77">
        <v>25</v>
      </c>
      <c r="AF56" s="38"/>
      <c r="AG56" s="38"/>
      <c r="AH56" t="s">
        <v>17</v>
      </c>
      <c r="AI56">
        <f t="shared" si="0"/>
        <v>0</v>
      </c>
    </row>
    <row r="57" spans="1:35" ht="21" customHeight="1" x14ac:dyDescent="0.35">
      <c r="A57" s="76"/>
      <c r="C57" s="66">
        <f>IFERROR(AF58,0)</f>
        <v>0</v>
      </c>
      <c r="G57" s="21"/>
      <c r="H57" s="21"/>
      <c r="I57" s="21"/>
      <c r="J57" s="21"/>
      <c r="O57" s="6"/>
      <c r="P57" s="18" t="s">
        <v>9</v>
      </c>
      <c r="Q57" s="23">
        <f>Q25+1</f>
        <v>30</v>
      </c>
      <c r="R57" s="23" t="s">
        <v>10</v>
      </c>
      <c r="AE57" s="77"/>
      <c r="AF57" s="38" t="s">
        <v>39</v>
      </c>
      <c r="AG57" s="38"/>
      <c r="AH57" t="s">
        <v>17</v>
      </c>
      <c r="AI57" t="str">
        <f t="shared" si="0"/>
        <v>SUCOFINDO</v>
      </c>
    </row>
    <row r="58" spans="1:35" ht="21" customHeight="1" x14ac:dyDescent="0.35">
      <c r="A58" s="78">
        <v>26</v>
      </c>
      <c r="C58" s="67" t="str">
        <f>IFERROR(AF59,0)</f>
        <v>CAHAYA AGUNG</v>
      </c>
      <c r="G58" s="21"/>
      <c r="H58" s="21"/>
      <c r="I58" s="21"/>
      <c r="J58" s="21"/>
      <c r="O58" s="6"/>
      <c r="AE58" s="77">
        <v>26</v>
      </c>
      <c r="AF58" s="38"/>
      <c r="AG58" s="38"/>
      <c r="AH58" t="s">
        <v>17</v>
      </c>
      <c r="AI58">
        <f t="shared" si="0"/>
        <v>0</v>
      </c>
    </row>
    <row r="59" spans="1:35" ht="21" customHeight="1" x14ac:dyDescent="0.35">
      <c r="A59" s="79"/>
      <c r="C59" s="66">
        <f>IFERROR(AF60,0)</f>
        <v>0</v>
      </c>
      <c r="D59" s="16" t="s">
        <v>9</v>
      </c>
      <c r="E59" s="17">
        <f>E55+1</f>
        <v>13</v>
      </c>
      <c r="F59" s="17" t="s">
        <v>10</v>
      </c>
      <c r="G59" s="5"/>
      <c r="H59" s="21"/>
      <c r="I59" s="21"/>
      <c r="J59" s="21"/>
      <c r="O59" s="6"/>
      <c r="AE59" s="77"/>
      <c r="AF59" s="38" t="s">
        <v>40</v>
      </c>
      <c r="AG59" s="38"/>
      <c r="AH59" t="s">
        <v>17</v>
      </c>
      <c r="AI59" t="str">
        <f t="shared" si="0"/>
        <v>CAHAYA AGUNG</v>
      </c>
    </row>
    <row r="60" spans="1:35" ht="21" customHeight="1" x14ac:dyDescent="0.35">
      <c r="A60" s="76">
        <v>27</v>
      </c>
      <c r="C60" s="67" t="str">
        <f>IFERROR(AF61,0)</f>
        <v>Bye</v>
      </c>
      <c r="G60" s="6"/>
      <c r="H60" s="21"/>
      <c r="I60" s="21"/>
      <c r="J60" s="21"/>
      <c r="O60" s="6"/>
      <c r="AE60" s="77">
        <v>27</v>
      </c>
      <c r="AF60" s="38"/>
      <c r="AG60" s="38"/>
      <c r="AH60" t="s">
        <v>17</v>
      </c>
      <c r="AI60">
        <f t="shared" si="0"/>
        <v>0</v>
      </c>
    </row>
    <row r="61" spans="1:35" ht="21" customHeight="1" x14ac:dyDescent="0.35">
      <c r="A61" s="76"/>
      <c r="C61" s="66">
        <f>IFERROR(AF62,0)</f>
        <v>0</v>
      </c>
      <c r="G61" s="6"/>
      <c r="H61" s="8" t="s">
        <v>9</v>
      </c>
      <c r="I61" s="8">
        <f>1+I53</f>
        <v>23</v>
      </c>
      <c r="J61" s="8" t="s">
        <v>10</v>
      </c>
      <c r="K61" s="5"/>
      <c r="O61" s="6"/>
      <c r="AE61" s="77"/>
      <c r="AF61" s="38" t="s">
        <v>12</v>
      </c>
      <c r="AG61" s="38"/>
      <c r="AH61" t="s">
        <v>17</v>
      </c>
      <c r="AI61" t="str">
        <f t="shared" si="0"/>
        <v>Bye</v>
      </c>
    </row>
    <row r="62" spans="1:35" ht="21" customHeight="1" x14ac:dyDescent="0.35">
      <c r="A62" s="78">
        <v>28</v>
      </c>
      <c r="C62" s="67" t="str">
        <f>IFERROR(AF63,0)</f>
        <v>MAXPLAY B</v>
      </c>
      <c r="D62" s="9"/>
      <c r="E62" s="9"/>
      <c r="F62" s="9"/>
      <c r="G62" s="7"/>
      <c r="K62" s="6"/>
      <c r="O62" s="6"/>
      <c r="AE62" s="77">
        <v>28</v>
      </c>
      <c r="AF62" s="38"/>
      <c r="AG62" s="38"/>
      <c r="AH62" t="s">
        <v>17</v>
      </c>
      <c r="AI62">
        <f t="shared" si="0"/>
        <v>0</v>
      </c>
    </row>
    <row r="63" spans="1:35" ht="21" customHeight="1" x14ac:dyDescent="0.35">
      <c r="A63" s="79"/>
      <c r="C63" s="66">
        <f>IFERROR(AF64,0)</f>
        <v>0</v>
      </c>
      <c r="D63" s="16" t="s">
        <v>9</v>
      </c>
      <c r="E63" s="17">
        <f>E59+1</f>
        <v>14</v>
      </c>
      <c r="F63" s="17" t="s">
        <v>10</v>
      </c>
      <c r="G63" s="21"/>
      <c r="H63" s="21"/>
      <c r="I63" s="21"/>
      <c r="J63" s="21"/>
      <c r="K63" s="6"/>
      <c r="O63" s="6"/>
      <c r="AE63" s="77"/>
      <c r="AF63" s="38" t="s">
        <v>41</v>
      </c>
      <c r="AG63" s="38"/>
      <c r="AH63" t="s">
        <v>17</v>
      </c>
      <c r="AI63" t="str">
        <f t="shared" si="0"/>
        <v>MAXPLAY B</v>
      </c>
    </row>
    <row r="64" spans="1:35" ht="21" customHeight="1" x14ac:dyDescent="0.35">
      <c r="A64" s="76">
        <v>29</v>
      </c>
      <c r="C64" s="67" t="str">
        <f>IFERROR(AF65,0)</f>
        <v>Bye</v>
      </c>
      <c r="G64" s="21"/>
      <c r="K64" s="6"/>
      <c r="L64" s="24"/>
      <c r="M64" s="24"/>
      <c r="N64" s="24"/>
      <c r="O64" s="7"/>
      <c r="AE64" s="77">
        <v>29</v>
      </c>
      <c r="AF64" s="38"/>
      <c r="AG64" s="38"/>
      <c r="AH64" t="s">
        <v>17</v>
      </c>
      <c r="AI64">
        <f t="shared" si="0"/>
        <v>0</v>
      </c>
    </row>
    <row r="65" spans="1:35" ht="21" customHeight="1" x14ac:dyDescent="0.35">
      <c r="A65" s="76"/>
      <c r="C65" s="66">
        <f>IFERROR(AF66,0)</f>
        <v>0</v>
      </c>
      <c r="G65" s="21"/>
      <c r="K65" s="6"/>
      <c r="L65" s="18" t="s">
        <v>9</v>
      </c>
      <c r="M65" s="23">
        <f>1+M49</f>
        <v>28</v>
      </c>
      <c r="N65" s="23" t="s">
        <v>10</v>
      </c>
      <c r="AE65" s="77"/>
      <c r="AF65" s="38" t="s">
        <v>12</v>
      </c>
      <c r="AG65" s="38"/>
      <c r="AH65" t="s">
        <v>17</v>
      </c>
      <c r="AI65" t="str">
        <f t="shared" si="0"/>
        <v>Bye</v>
      </c>
    </row>
    <row r="66" spans="1:35" ht="21" customHeight="1" x14ac:dyDescent="0.35">
      <c r="A66" s="78">
        <v>30</v>
      </c>
      <c r="C66" s="67" t="str">
        <f>IFERROR(AF67,0)</f>
        <v>FAREZ A</v>
      </c>
      <c r="D66" s="29"/>
      <c r="E66" s="29"/>
      <c r="G66" s="21"/>
      <c r="H66" s="21"/>
      <c r="I66" s="21"/>
      <c r="J66" s="21"/>
      <c r="K66" s="6"/>
      <c r="AE66" s="77">
        <v>30</v>
      </c>
      <c r="AF66" s="38"/>
      <c r="AG66" s="38"/>
      <c r="AH66" t="s">
        <v>17</v>
      </c>
      <c r="AI66">
        <f t="shared" si="0"/>
        <v>0</v>
      </c>
    </row>
    <row r="67" spans="1:35" ht="21" customHeight="1" x14ac:dyDescent="0.35">
      <c r="A67" s="79"/>
      <c r="C67" s="66">
        <f>IFERROR(AF68,0)</f>
        <v>0</v>
      </c>
      <c r="D67" s="40" t="s">
        <v>9</v>
      </c>
      <c r="E67" s="41">
        <f>E63+1</f>
        <v>15</v>
      </c>
      <c r="F67" s="17" t="s">
        <v>10</v>
      </c>
      <c r="G67" s="5"/>
      <c r="H67" s="21"/>
      <c r="I67" s="21"/>
      <c r="J67" s="21"/>
      <c r="K67" s="6"/>
      <c r="AE67" s="77"/>
      <c r="AF67" s="38" t="s">
        <v>42</v>
      </c>
      <c r="AG67" s="38"/>
      <c r="AH67" t="s">
        <v>17</v>
      </c>
      <c r="AI67" t="str">
        <f t="shared" si="0"/>
        <v>FAREZ A</v>
      </c>
    </row>
    <row r="68" spans="1:35" ht="21" customHeight="1" x14ac:dyDescent="0.35">
      <c r="A68" s="76">
        <v>31</v>
      </c>
      <c r="C68" s="67" t="str">
        <f>IFERROR(AF69,0)</f>
        <v>Bye</v>
      </c>
      <c r="D68" s="29"/>
      <c r="E68" s="29"/>
      <c r="G68" s="6"/>
      <c r="H68" s="24"/>
      <c r="I68" s="24"/>
      <c r="J68" s="24"/>
      <c r="K68" s="7"/>
      <c r="AE68" s="77">
        <v>31</v>
      </c>
      <c r="AF68" s="38"/>
      <c r="AG68" s="38"/>
      <c r="AH68" t="s">
        <v>17</v>
      </c>
      <c r="AI68">
        <f t="shared" si="0"/>
        <v>0</v>
      </c>
    </row>
    <row r="69" spans="1:35" ht="21" customHeight="1" x14ac:dyDescent="0.35">
      <c r="A69" s="76"/>
      <c r="C69" s="66">
        <f>IFERROR(AF70,0)</f>
        <v>0</v>
      </c>
      <c r="D69" s="29"/>
      <c r="E69" s="29"/>
      <c r="G69" s="6"/>
      <c r="H69" s="21" t="s">
        <v>9</v>
      </c>
      <c r="I69" s="21">
        <f>1+I61</f>
        <v>24</v>
      </c>
      <c r="J69" s="21" t="s">
        <v>10</v>
      </c>
      <c r="AE69" s="77"/>
      <c r="AF69" s="38" t="s">
        <v>12</v>
      </c>
      <c r="AG69" s="38"/>
      <c r="AH69" t="s">
        <v>17</v>
      </c>
      <c r="AI69" t="str">
        <f t="shared" si="0"/>
        <v>Bye</v>
      </c>
    </row>
    <row r="70" spans="1:35" ht="21" customHeight="1" x14ac:dyDescent="0.35">
      <c r="A70" s="78">
        <v>32</v>
      </c>
      <c r="C70" s="67" t="str">
        <f>IFERROR(AF71,0)</f>
        <v>HARFANAS A (2)</v>
      </c>
      <c r="D70" s="42"/>
      <c r="E70" s="42"/>
      <c r="F70" s="9"/>
      <c r="G70" s="7"/>
      <c r="H70" s="21"/>
      <c r="I70" s="21"/>
      <c r="J70" s="21"/>
      <c r="AE70" s="77">
        <v>32</v>
      </c>
      <c r="AF70" s="38"/>
      <c r="AG70" s="38"/>
      <c r="AH70" t="s">
        <v>17</v>
      </c>
      <c r="AI70">
        <f t="shared" si="0"/>
        <v>0</v>
      </c>
    </row>
    <row r="71" spans="1:35" ht="21" customHeight="1" x14ac:dyDescent="0.25">
      <c r="A71" s="79"/>
      <c r="D71" s="40" t="s">
        <v>9</v>
      </c>
      <c r="E71" s="41">
        <f>E67+1</f>
        <v>16</v>
      </c>
      <c r="F71" s="17" t="s">
        <v>10</v>
      </c>
      <c r="G71" s="21"/>
      <c r="H71" s="21"/>
      <c r="I71" s="21"/>
      <c r="J71" s="21"/>
      <c r="AE71" s="77"/>
      <c r="AF71" s="38" t="s">
        <v>43</v>
      </c>
      <c r="AG71" s="38"/>
      <c r="AH71" t="s">
        <v>17</v>
      </c>
      <c r="AI71" t="str">
        <f t="shared" si="0"/>
        <v>HARFANAS A (2)</v>
      </c>
    </row>
    <row r="75" spans="1:35" ht="18.95" customHeight="1" x14ac:dyDescent="0.25">
      <c r="E75" t="e">
        <f>#REF!-#REF!</f>
        <v>#REF!</v>
      </c>
      <c r="I75" t="e">
        <f>#REF!-#REF!</f>
        <v>#REF!</v>
      </c>
      <c r="M75" s="21" t="e">
        <f>#REF!-#REF!</f>
        <v>#REF!</v>
      </c>
      <c r="Q75" s="21" t="e">
        <f>#REF!-#REF!</f>
        <v>#REF!</v>
      </c>
      <c r="U75" t="e">
        <f>#REF!-#REF!</f>
        <v>#REF!</v>
      </c>
    </row>
  </sheetData>
  <mergeCells count="70">
    <mergeCell ref="X6:AA6"/>
    <mergeCell ref="D6:G6"/>
    <mergeCell ref="H6:K6"/>
    <mergeCell ref="L6:O6"/>
    <mergeCell ref="P6:S6"/>
    <mergeCell ref="T6:W6"/>
    <mergeCell ref="A8:A9"/>
    <mergeCell ref="AE8:AE9"/>
    <mergeCell ref="A10:A11"/>
    <mergeCell ref="AE10:AE11"/>
    <mergeCell ref="A12:A13"/>
    <mergeCell ref="AE12:AE13"/>
    <mergeCell ref="A14:A15"/>
    <mergeCell ref="AE14:AE15"/>
    <mergeCell ref="A16:A17"/>
    <mergeCell ref="AE16:AE17"/>
    <mergeCell ref="A18:A19"/>
    <mergeCell ref="AE18:AE19"/>
    <mergeCell ref="A20:A21"/>
    <mergeCell ref="AE20:AE21"/>
    <mergeCell ref="A22:A23"/>
    <mergeCell ref="AE22:AE23"/>
    <mergeCell ref="A24:A25"/>
    <mergeCell ref="AE24:AE25"/>
    <mergeCell ref="A26:A27"/>
    <mergeCell ref="AE26:AE27"/>
    <mergeCell ref="A28:A29"/>
    <mergeCell ref="AE28:AE29"/>
    <mergeCell ref="A30:A31"/>
    <mergeCell ref="AE30:AE31"/>
    <mergeCell ref="A32:A33"/>
    <mergeCell ref="AE32:AE33"/>
    <mergeCell ref="A34:A35"/>
    <mergeCell ref="AE34:AE35"/>
    <mergeCell ref="A36:A37"/>
    <mergeCell ref="AE36:AE37"/>
    <mergeCell ref="A38:A39"/>
    <mergeCell ref="AE38:AE39"/>
    <mergeCell ref="A40:A41"/>
    <mergeCell ref="AE40:AE41"/>
    <mergeCell ref="A42:A43"/>
    <mergeCell ref="AE42:AE43"/>
    <mergeCell ref="A44:A45"/>
    <mergeCell ref="AE44:AE45"/>
    <mergeCell ref="A46:A47"/>
    <mergeCell ref="AE46:AE47"/>
    <mergeCell ref="A48:A49"/>
    <mergeCell ref="AE48:AE49"/>
    <mergeCell ref="A50:A51"/>
    <mergeCell ref="AE50:AE51"/>
    <mergeCell ref="A52:A53"/>
    <mergeCell ref="AE52:AE53"/>
    <mergeCell ref="A54:A55"/>
    <mergeCell ref="AE54:AE55"/>
    <mergeCell ref="A56:A57"/>
    <mergeCell ref="AE56:AE57"/>
    <mergeCell ref="A58:A59"/>
    <mergeCell ref="AE58:AE59"/>
    <mergeCell ref="A60:A61"/>
    <mergeCell ref="AE60:AE61"/>
    <mergeCell ref="A68:A69"/>
    <mergeCell ref="AE68:AE69"/>
    <mergeCell ref="A70:A71"/>
    <mergeCell ref="AE70:AE71"/>
    <mergeCell ref="A62:A63"/>
    <mergeCell ref="AE62:AE63"/>
    <mergeCell ref="A64:A65"/>
    <mergeCell ref="AE64:AE65"/>
    <mergeCell ref="A66:A67"/>
    <mergeCell ref="AE66:AE67"/>
  </mergeCells>
  <pageMargins left="0.12" right="0.21" top="0.33" bottom="0.35" header="0.3" footer="0.3"/>
  <pageSetup paperSize="9" scale="53" orientation="portrait" horizontalDpi="360" verticalDpi="360" r:id="rId1"/>
  <colBreaks count="1" manualBreakCount="1"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GDA</vt:lpstr>
      <vt:lpstr>GDI</vt:lpstr>
      <vt:lpstr>VETERAN</vt:lpstr>
      <vt:lpstr>BEREGU</vt:lpstr>
      <vt:lpstr>BEREGU!Print_Area</vt:lpstr>
      <vt:lpstr>GDA!Print_Area</vt:lpstr>
      <vt:lpstr>GDI!Print_Area</vt:lpstr>
      <vt:lpstr>VETERAN!Print_Area</vt:lpstr>
      <vt:lpstr>BEREGU!Print_Titles</vt:lpstr>
      <vt:lpstr>GDA!Print_Titles</vt:lpstr>
      <vt:lpstr>VETERAN!Print_Titles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@ts</dc:creator>
  <cp:lastModifiedBy>Iswiandrian</cp:lastModifiedBy>
  <cp:lastPrinted>2026-08-21T14:35:12Z</cp:lastPrinted>
  <dcterms:created xsi:type="dcterms:W3CDTF">2019-09-07T12:28:31Z</dcterms:created>
  <dcterms:modified xsi:type="dcterms:W3CDTF">2026-08-22T03:45:12Z</dcterms:modified>
</cp:coreProperties>
</file>